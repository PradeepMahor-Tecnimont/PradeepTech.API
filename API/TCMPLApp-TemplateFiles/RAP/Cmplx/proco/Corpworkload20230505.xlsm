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proco\"/>
    </mc:Choice>
  </mc:AlternateContent>
  <xr:revisionPtr revIDLastSave="0" documentId="13_ncr:1_{DFB0123D-174F-4D93-93C1-83B6FC477EB7}" xr6:coauthVersionLast="47" xr6:coauthVersionMax="47" xr10:uidLastSave="{00000000-0000-0000-0000-000000000000}"/>
  <bookViews>
    <workbookView xWindow="-120" yWindow="-120" windowWidth="29040" windowHeight="15840" tabRatio="490" activeTab="7" xr2:uid="{00000000-000D-0000-FFFF-FFFF00000000}"/>
  </bookViews>
  <sheets>
    <sheet name="SUMMARY" sheetId="13" r:id="rId1"/>
    <sheet name="Engg" sheetId="10" r:id="rId2"/>
    <sheet name="Projconst" sheetId="11" r:id="rId3"/>
    <sheet name="Procure" sheetId="12" r:id="rId4"/>
    <sheet name="Construction" sheetId="14" r:id="rId5"/>
    <sheet name="Combined M + D" sheetId="15" r:id="rId6"/>
    <sheet name="Mumbai" sheetId="16" r:id="rId7"/>
    <sheet name="Delhi" sheetId="17" r:id="rId8"/>
  </sheets>
  <externalReferences>
    <externalReference r:id="rId9"/>
  </externalReferences>
  <definedNames>
    <definedName name="_PAG1">[1]SIR!$Z$2:$AL$44</definedName>
    <definedName name="_PAG2">[1]SIR!$G$2:$W$44</definedName>
    <definedName name="_PAG3">[1]C_AV_PR!$B$2:$S$44</definedName>
    <definedName name="_pag4">[1]SIR!$G$50:$W$91</definedName>
    <definedName name="anscount" hidden="1">1</definedName>
    <definedName name="DBASE">[1]DATI_AV!$I$1:$L$508</definedName>
    <definedName name="DBASEM">[1]DATI_MHRS!$I$4:$M$178</definedName>
    <definedName name="DBASEP">[1]DATI_PROD!$H$3:$K$229</definedName>
    <definedName name="DBES">[1]DATI_AV!$H$1:$K$371</definedName>
    <definedName name="PAG._1">[1]SIR!$G$2:$W$44</definedName>
    <definedName name="_xlnm.Print_Area" localSheetId="5">'Combined M + D'!$A$1:$W$18</definedName>
    <definedName name="_xlnm.Print_Area" localSheetId="4">Construction!$A$1:$W$42</definedName>
    <definedName name="_xlnm.Print_Area" localSheetId="7">Delhi!$A$1:$W$42</definedName>
    <definedName name="_xlnm.Print_Area" localSheetId="1">Engg!$A$1:$W$42</definedName>
    <definedName name="_xlnm.Print_Area" localSheetId="6">Mumbai!$A$1:$W$42</definedName>
    <definedName name="_xlnm.Print_Area" localSheetId="3">Procure!$A$1:$W$42</definedName>
    <definedName name="_xlnm.Print_Area" localSheetId="2">Projconst!$A$1:$W$42</definedName>
    <definedName name="_xlnm.Print_Area" localSheetId="0">SUMMARY!$A$1:$X$78</definedName>
    <definedName name="_xlnm.Print_Titles" localSheetId="5">'Combined M + D'!$5:$5</definedName>
    <definedName name="_xlnm.Print_Titles" localSheetId="4">Construction!$5:$5</definedName>
    <definedName name="_xlnm.Print_Titles" localSheetId="7">Delhi!$5:$5</definedName>
    <definedName name="_xlnm.Print_Titles" localSheetId="1">Engg!$5:$5</definedName>
    <definedName name="_xlnm.Print_Titles" localSheetId="6">Mumbai!$5:$5</definedName>
    <definedName name="_xlnm.Print_Titles" localSheetId="3">Procure!$5:$5</definedName>
    <definedName name="_xlnm.Print_Titles" localSheetId="2">Projconst!$5:$5</definedName>
    <definedName name="_xlnm.Print_Titles" localSheetId="0">SUMMARY!$5:$5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1" i="17" l="1"/>
  <c r="W16" i="17" s="1"/>
  <c r="V41" i="17"/>
  <c r="U41" i="17"/>
  <c r="T41" i="17"/>
  <c r="S41" i="17"/>
  <c r="S16" i="17" s="1"/>
  <c r="R41" i="17"/>
  <c r="Q41" i="17"/>
  <c r="P41" i="17"/>
  <c r="O41" i="17"/>
  <c r="O16" i="17" s="1"/>
  <c r="N41" i="17"/>
  <c r="M41" i="17"/>
  <c r="L41" i="17"/>
  <c r="K41" i="17"/>
  <c r="K16" i="17" s="1"/>
  <c r="J41" i="17"/>
  <c r="I41" i="17"/>
  <c r="H41" i="17"/>
  <c r="G41" i="17"/>
  <c r="G16" i="17" s="1"/>
  <c r="F41" i="17"/>
  <c r="E40" i="17"/>
  <c r="E39" i="17"/>
  <c r="W38" i="17"/>
  <c r="W42" i="17" s="1"/>
  <c r="V38" i="17"/>
  <c r="U38" i="17"/>
  <c r="U42" i="17" s="1"/>
  <c r="T38" i="17"/>
  <c r="T42" i="17" s="1"/>
  <c r="S38" i="17"/>
  <c r="S42" i="17" s="1"/>
  <c r="R38" i="17"/>
  <c r="R42" i="17" s="1"/>
  <c r="Q38" i="17"/>
  <c r="Q42" i="17" s="1"/>
  <c r="P38" i="17"/>
  <c r="O38" i="17"/>
  <c r="O42" i="17" s="1"/>
  <c r="N38" i="17"/>
  <c r="N42" i="17" s="1"/>
  <c r="M38" i="17"/>
  <c r="M42" i="17" s="1"/>
  <c r="L38" i="17"/>
  <c r="L42" i="17" s="1"/>
  <c r="K38" i="17"/>
  <c r="K42" i="17" s="1"/>
  <c r="J38" i="17"/>
  <c r="I38" i="17"/>
  <c r="I42" i="17" s="1"/>
  <c r="H38" i="17"/>
  <c r="H42" i="17" s="1"/>
  <c r="G38" i="17"/>
  <c r="E38" i="17" s="1"/>
  <c r="F38" i="17"/>
  <c r="F42" i="17" s="1"/>
  <c r="E37" i="17"/>
  <c r="E36" i="17"/>
  <c r="E35" i="17"/>
  <c r="E34" i="17"/>
  <c r="E33" i="17"/>
  <c r="E32" i="17"/>
  <c r="E31" i="17"/>
  <c r="G30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8" i="17"/>
  <c r="E27" i="17"/>
  <c r="W26" i="17"/>
  <c r="W30" i="17" s="1"/>
  <c r="V26" i="17"/>
  <c r="U26" i="17"/>
  <c r="U30" i="17" s="1"/>
  <c r="U17" i="17" s="1"/>
  <c r="T26" i="17"/>
  <c r="T30" i="17" s="1"/>
  <c r="T17" i="17" s="1"/>
  <c r="S26" i="17"/>
  <c r="S30" i="17" s="1"/>
  <c r="R26" i="17"/>
  <c r="R30" i="17" s="1"/>
  <c r="Q26" i="17"/>
  <c r="Q30" i="17" s="1"/>
  <c r="Q17" i="17" s="1"/>
  <c r="P26" i="17"/>
  <c r="P13" i="17" s="1"/>
  <c r="O26" i="17"/>
  <c r="O30" i="17" s="1"/>
  <c r="N26" i="17"/>
  <c r="N30" i="17" s="1"/>
  <c r="N17" i="17" s="1"/>
  <c r="M26" i="17"/>
  <c r="M13" i="17" s="1"/>
  <c r="L26" i="17"/>
  <c r="L30" i="17" s="1"/>
  <c r="K26" i="17"/>
  <c r="K30" i="17" s="1"/>
  <c r="J26" i="17"/>
  <c r="I26" i="17"/>
  <c r="I30" i="17" s="1"/>
  <c r="I17" i="17" s="1"/>
  <c r="H26" i="17"/>
  <c r="H30" i="17" s="1"/>
  <c r="H17" i="17" s="1"/>
  <c r="G26" i="17"/>
  <c r="F26" i="17"/>
  <c r="F30" i="17" s="1"/>
  <c r="E25" i="17"/>
  <c r="E24" i="17"/>
  <c r="E23" i="17"/>
  <c r="E22" i="17"/>
  <c r="E21" i="17"/>
  <c r="E20" i="17"/>
  <c r="E19" i="17"/>
  <c r="V16" i="17"/>
  <c r="U16" i="17"/>
  <c r="T16" i="17"/>
  <c r="R16" i="17"/>
  <c r="Q16" i="17"/>
  <c r="P16" i="17"/>
  <c r="N16" i="17"/>
  <c r="M16" i="17"/>
  <c r="L16" i="17"/>
  <c r="J16" i="17"/>
  <c r="I16" i="17"/>
  <c r="H16" i="17"/>
  <c r="F16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 s="1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V13" i="17"/>
  <c r="R13" i="17"/>
  <c r="N13" i="17"/>
  <c r="J13" i="17"/>
  <c r="F13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E10" i="17" s="1"/>
  <c r="G10" i="17"/>
  <c r="F10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 s="1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U2" i="17"/>
  <c r="S17" i="17" l="1"/>
  <c r="P30" i="17"/>
  <c r="G13" i="17"/>
  <c r="O13" i="17"/>
  <c r="W13" i="17"/>
  <c r="G42" i="17"/>
  <c r="G17" i="17" s="1"/>
  <c r="E6" i="17"/>
  <c r="E12" i="17"/>
  <c r="H13" i="17"/>
  <c r="L13" i="17"/>
  <c r="T13" i="17"/>
  <c r="E14" i="17"/>
  <c r="E29" i="17"/>
  <c r="J30" i="17"/>
  <c r="V30" i="17"/>
  <c r="E16" i="17"/>
  <c r="E7" i="17"/>
  <c r="E11" i="17"/>
  <c r="K13" i="17"/>
  <c r="S13" i="17"/>
  <c r="M30" i="17"/>
  <c r="M17" i="17" s="1"/>
  <c r="P42" i="17"/>
  <c r="E8" i="17"/>
  <c r="I13" i="17"/>
  <c r="Q13" i="17"/>
  <c r="U13" i="17"/>
  <c r="K17" i="17"/>
  <c r="O17" i="17"/>
  <c r="W17" i="17"/>
  <c r="E41" i="17"/>
  <c r="J42" i="17"/>
  <c r="E42" i="17" s="1"/>
  <c r="V42" i="17"/>
  <c r="F17" i="17"/>
  <c r="L17" i="17"/>
  <c r="R17" i="17"/>
  <c r="P17" i="17"/>
  <c r="V17" i="17"/>
  <c r="E26" i="17"/>
  <c r="G42" i="16"/>
  <c r="W41" i="16"/>
  <c r="V41" i="16"/>
  <c r="U41" i="16"/>
  <c r="T41" i="16"/>
  <c r="T16" i="16" s="1"/>
  <c r="S41" i="16"/>
  <c r="R41" i="16"/>
  <c r="Q41" i="16"/>
  <c r="P41" i="16"/>
  <c r="P16" i="16" s="1"/>
  <c r="O41" i="16"/>
  <c r="N41" i="16"/>
  <c r="M41" i="16"/>
  <c r="L41" i="16"/>
  <c r="L16" i="16" s="1"/>
  <c r="K41" i="16"/>
  <c r="J41" i="16"/>
  <c r="I41" i="16"/>
  <c r="H41" i="16"/>
  <c r="H16" i="16" s="1"/>
  <c r="G41" i="16"/>
  <c r="F41" i="16"/>
  <c r="E40" i="16"/>
  <c r="E39" i="16"/>
  <c r="W38" i="16"/>
  <c r="W42" i="16" s="1"/>
  <c r="V38" i="16"/>
  <c r="V42" i="16" s="1"/>
  <c r="U38" i="16"/>
  <c r="U42" i="16" s="1"/>
  <c r="T38" i="16"/>
  <c r="T42" i="16" s="1"/>
  <c r="S38" i="16"/>
  <c r="S42" i="16" s="1"/>
  <c r="R38" i="16"/>
  <c r="R42" i="16" s="1"/>
  <c r="Q38" i="16"/>
  <c r="Q42" i="16" s="1"/>
  <c r="P38" i="16"/>
  <c r="O38" i="16"/>
  <c r="O42" i="16" s="1"/>
  <c r="N38" i="16"/>
  <c r="N42" i="16" s="1"/>
  <c r="M38" i="16"/>
  <c r="M42" i="16" s="1"/>
  <c r="L38" i="16"/>
  <c r="L42" i="16" s="1"/>
  <c r="K38" i="16"/>
  <c r="K42" i="16" s="1"/>
  <c r="J38" i="16"/>
  <c r="J42" i="16" s="1"/>
  <c r="I38" i="16"/>
  <c r="I42" i="16" s="1"/>
  <c r="H38" i="16"/>
  <c r="H42" i="16" s="1"/>
  <c r="G38" i="16"/>
  <c r="E38" i="16" s="1"/>
  <c r="F38" i="16"/>
  <c r="F42" i="16" s="1"/>
  <c r="E37" i="16"/>
  <c r="E36" i="16"/>
  <c r="E35" i="16"/>
  <c r="E34" i="16"/>
  <c r="E33" i="16"/>
  <c r="E32" i="16"/>
  <c r="E31" i="16"/>
  <c r="W29" i="16"/>
  <c r="V29" i="16"/>
  <c r="U29" i="16"/>
  <c r="U16" i="16" s="1"/>
  <c r="T29" i="16"/>
  <c r="S29" i="16"/>
  <c r="R29" i="16"/>
  <c r="Q29" i="16"/>
  <c r="Q16" i="16" s="1"/>
  <c r="P29" i="16"/>
  <c r="O29" i="16"/>
  <c r="N29" i="16"/>
  <c r="M29" i="16"/>
  <c r="M16" i="16" s="1"/>
  <c r="L29" i="16"/>
  <c r="K29" i="16"/>
  <c r="J29" i="16"/>
  <c r="I29" i="16"/>
  <c r="I16" i="16" s="1"/>
  <c r="H29" i="16"/>
  <c r="G29" i="16"/>
  <c r="F29" i="16"/>
  <c r="E28" i="16"/>
  <c r="E27" i="16"/>
  <c r="W26" i="16"/>
  <c r="W30" i="16" s="1"/>
  <c r="W17" i="16" s="1"/>
  <c r="V26" i="16"/>
  <c r="V30" i="16" s="1"/>
  <c r="U26" i="16"/>
  <c r="U30" i="16" s="1"/>
  <c r="U17" i="16" s="1"/>
  <c r="T26" i="16"/>
  <c r="T30" i="16" s="1"/>
  <c r="S26" i="16"/>
  <c r="S30" i="16" s="1"/>
  <c r="R26" i="16"/>
  <c r="R30" i="16" s="1"/>
  <c r="Q26" i="16"/>
  <c r="Q30" i="16" s="1"/>
  <c r="Q17" i="16" s="1"/>
  <c r="P26" i="16"/>
  <c r="P30" i="16" s="1"/>
  <c r="O26" i="16"/>
  <c r="O30" i="16" s="1"/>
  <c r="O17" i="16" s="1"/>
  <c r="N26" i="16"/>
  <c r="N30" i="16" s="1"/>
  <c r="N17" i="16" s="1"/>
  <c r="M26" i="16"/>
  <c r="M30" i="16" s="1"/>
  <c r="M17" i="16" s="1"/>
  <c r="L26" i="16"/>
  <c r="L30" i="16" s="1"/>
  <c r="K26" i="16"/>
  <c r="K30" i="16" s="1"/>
  <c r="K17" i="16" s="1"/>
  <c r="J26" i="16"/>
  <c r="J30" i="16" s="1"/>
  <c r="I26" i="16"/>
  <c r="I30" i="16" s="1"/>
  <c r="I17" i="16" s="1"/>
  <c r="H26" i="16"/>
  <c r="H30" i="16" s="1"/>
  <c r="G26" i="16"/>
  <c r="G30" i="16" s="1"/>
  <c r="G17" i="16" s="1"/>
  <c r="F26" i="16"/>
  <c r="F30" i="16" s="1"/>
  <c r="E26" i="16"/>
  <c r="E25" i="16"/>
  <c r="E24" i="16"/>
  <c r="E23" i="16"/>
  <c r="E22" i="16"/>
  <c r="E21" i="16"/>
  <c r="E20" i="16"/>
  <c r="E19" i="16"/>
  <c r="W16" i="16"/>
  <c r="V16" i="16"/>
  <c r="S16" i="16"/>
  <c r="R16" i="16"/>
  <c r="O16" i="16"/>
  <c r="N16" i="16"/>
  <c r="K16" i="16"/>
  <c r="J16" i="16"/>
  <c r="G16" i="16"/>
  <c r="F16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 s="1"/>
  <c r="W13" i="16"/>
  <c r="V13" i="16"/>
  <c r="T13" i="16"/>
  <c r="S13" i="16"/>
  <c r="R13" i="16"/>
  <c r="P13" i="16"/>
  <c r="O13" i="16"/>
  <c r="N13" i="16"/>
  <c r="L13" i="16"/>
  <c r="K13" i="16"/>
  <c r="J13" i="16"/>
  <c r="H13" i="16"/>
  <c r="G13" i="16"/>
  <c r="F13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 s="1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 s="1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 s="1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 s="1"/>
  <c r="U2" i="16"/>
  <c r="S17" i="16" l="1"/>
  <c r="P42" i="16"/>
  <c r="I13" i="16"/>
  <c r="M13" i="16"/>
  <c r="E13" i="16" s="1"/>
  <c r="Q13" i="16"/>
  <c r="U13" i="16"/>
  <c r="E29" i="16"/>
  <c r="E13" i="17"/>
  <c r="E16" i="16"/>
  <c r="E41" i="16"/>
  <c r="J17" i="17"/>
  <c r="E30" i="17"/>
  <c r="E7" i="16"/>
  <c r="E9" i="16"/>
  <c r="E11" i="16"/>
  <c r="E15" i="16"/>
  <c r="H17" i="16"/>
  <c r="L17" i="16"/>
  <c r="T17" i="16"/>
  <c r="E17" i="17"/>
  <c r="E30" i="16"/>
  <c r="F17" i="16"/>
  <c r="R17" i="16"/>
  <c r="E42" i="16"/>
  <c r="J17" i="16"/>
  <c r="P17" i="16"/>
  <c r="V17" i="16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17" i="16" l="1"/>
  <c r="X67" i="13"/>
  <c r="W67" i="13"/>
  <c r="V67" i="13"/>
  <c r="U67" i="13"/>
  <c r="T67" i="13"/>
  <c r="S67" i="13"/>
  <c r="R67" i="13"/>
  <c r="Q67" i="13"/>
  <c r="P67" i="13"/>
  <c r="O67" i="13"/>
  <c r="N67" i="13"/>
  <c r="M67" i="13"/>
  <c r="L67" i="13"/>
  <c r="K67" i="13"/>
  <c r="J67" i="13"/>
  <c r="I67" i="13"/>
  <c r="H67" i="13"/>
  <c r="G67" i="13"/>
  <c r="X66" i="13"/>
  <c r="W66" i="13"/>
  <c r="V66" i="13"/>
  <c r="U66" i="13"/>
  <c r="T66" i="13"/>
  <c r="S66" i="13"/>
  <c r="R66" i="13"/>
  <c r="Q66" i="13"/>
  <c r="P66" i="13"/>
  <c r="O66" i="13"/>
  <c r="N66" i="13"/>
  <c r="M66" i="13"/>
  <c r="L66" i="13"/>
  <c r="K66" i="13"/>
  <c r="J66" i="13"/>
  <c r="I66" i="13"/>
  <c r="H66" i="13"/>
  <c r="G66" i="13"/>
  <c r="X64" i="13"/>
  <c r="W64" i="13"/>
  <c r="V64" i="13"/>
  <c r="U64" i="13"/>
  <c r="T64" i="13"/>
  <c r="S64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X62" i="13"/>
  <c r="W62" i="13"/>
  <c r="V62" i="13"/>
  <c r="U62" i="13"/>
  <c r="T62" i="13"/>
  <c r="S62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X61" i="13"/>
  <c r="W61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X53" i="13"/>
  <c r="W53" i="13"/>
  <c r="V53" i="13"/>
  <c r="U53" i="13"/>
  <c r="T53" i="13"/>
  <c r="S53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S52" i="13"/>
  <c r="X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X47" i="13"/>
  <c r="W47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X46" i="13"/>
  <c r="W46" i="13"/>
  <c r="V46" i="13"/>
  <c r="U46" i="13"/>
  <c r="T46" i="13"/>
  <c r="S46" i="13"/>
  <c r="R46" i="13"/>
  <c r="Q46" i="13"/>
  <c r="P46" i="13"/>
  <c r="O46" i="13"/>
  <c r="N46" i="13"/>
  <c r="M46" i="13"/>
  <c r="L46" i="13"/>
  <c r="K46" i="13"/>
  <c r="J46" i="13"/>
  <c r="I46" i="13"/>
  <c r="H46" i="13"/>
  <c r="G46" i="13"/>
  <c r="X45" i="13"/>
  <c r="W45" i="13"/>
  <c r="V45" i="13"/>
  <c r="U45" i="13"/>
  <c r="T45" i="13"/>
  <c r="S45" i="13"/>
  <c r="R45" i="13"/>
  <c r="Q45" i="13"/>
  <c r="P45" i="13"/>
  <c r="O45" i="13"/>
  <c r="N45" i="13"/>
  <c r="M45" i="13"/>
  <c r="L45" i="13"/>
  <c r="K45" i="13"/>
  <c r="J45" i="13"/>
  <c r="I45" i="13"/>
  <c r="H45" i="13"/>
  <c r="X41" i="13"/>
  <c r="W41" i="13"/>
  <c r="V41" i="13"/>
  <c r="U41" i="13"/>
  <c r="T41" i="13"/>
  <c r="S41" i="13"/>
  <c r="R41" i="13"/>
  <c r="Q41" i="13"/>
  <c r="P41" i="13"/>
  <c r="O41" i="13"/>
  <c r="N41" i="13"/>
  <c r="M41" i="13"/>
  <c r="L41" i="13"/>
  <c r="K41" i="13"/>
  <c r="J41" i="13"/>
  <c r="I41" i="13"/>
  <c r="H41" i="13"/>
  <c r="G41" i="13"/>
  <c r="X40" i="13"/>
  <c r="W40" i="13"/>
  <c r="V40" i="13"/>
  <c r="U40" i="13"/>
  <c r="T40" i="13"/>
  <c r="S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M39" i="13"/>
  <c r="X38" i="13"/>
  <c r="W38" i="13"/>
  <c r="V38" i="13"/>
  <c r="U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X37" i="13"/>
  <c r="W37" i="13"/>
  <c r="V37" i="13"/>
  <c r="U37" i="13"/>
  <c r="T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X32" i="13"/>
  <c r="W32" i="13"/>
  <c r="V32" i="13"/>
  <c r="U32" i="13"/>
  <c r="T32" i="13"/>
  <c r="S32" i="13"/>
  <c r="R32" i="13"/>
  <c r="Q32" i="13"/>
  <c r="P32" i="13"/>
  <c r="O32" i="13"/>
  <c r="N32" i="13"/>
  <c r="M32" i="13"/>
  <c r="L32" i="13"/>
  <c r="K32" i="13"/>
  <c r="J32" i="13"/>
  <c r="I32" i="13"/>
  <c r="H32" i="13"/>
  <c r="L29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X25" i="13"/>
  <c r="W25" i="13"/>
  <c r="V25" i="13"/>
  <c r="U25" i="13"/>
  <c r="T25" i="13"/>
  <c r="S25" i="13"/>
  <c r="R25" i="13"/>
  <c r="R12" i="13" s="1"/>
  <c r="Q25" i="13"/>
  <c r="Q12" i="13" s="1"/>
  <c r="P25" i="13"/>
  <c r="O25" i="13"/>
  <c r="N25" i="13"/>
  <c r="M25" i="13"/>
  <c r="L25" i="13"/>
  <c r="K25" i="13"/>
  <c r="J25" i="13"/>
  <c r="I25" i="13"/>
  <c r="H25" i="13"/>
  <c r="G25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X19" i="13"/>
  <c r="W19" i="13"/>
  <c r="V19" i="13"/>
  <c r="U19" i="13"/>
  <c r="T19" i="13"/>
  <c r="S19" i="13"/>
  <c r="R19" i="13"/>
  <c r="Q19" i="13"/>
  <c r="P19" i="13"/>
  <c r="O19" i="13"/>
  <c r="N19" i="13"/>
  <c r="M19" i="13"/>
  <c r="L19" i="13"/>
  <c r="K19" i="13"/>
  <c r="J19" i="13"/>
  <c r="I19" i="13"/>
  <c r="H19" i="13"/>
  <c r="G58" i="13"/>
  <c r="G45" i="13"/>
  <c r="G32" i="13"/>
  <c r="G19" i="13"/>
  <c r="E15" i="15"/>
  <c r="E9" i="15"/>
  <c r="E8" i="15"/>
  <c r="E17" i="15"/>
  <c r="E16" i="15"/>
  <c r="E14" i="15"/>
  <c r="E13" i="15"/>
  <c r="E12" i="15"/>
  <c r="E11" i="15"/>
  <c r="E10" i="15"/>
  <c r="E7" i="15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W38" i="14"/>
  <c r="V38" i="14"/>
  <c r="V42" i="14" s="1"/>
  <c r="U38" i="14"/>
  <c r="U42" i="14" s="1"/>
  <c r="T38" i="14"/>
  <c r="T42" i="14" s="1"/>
  <c r="S38" i="14"/>
  <c r="R38" i="14"/>
  <c r="R42" i="14" s="1"/>
  <c r="Q38" i="14"/>
  <c r="Q42" i="14" s="1"/>
  <c r="P38" i="14"/>
  <c r="P42" i="14" s="1"/>
  <c r="O38" i="14"/>
  <c r="N38" i="14"/>
  <c r="N42" i="14" s="1"/>
  <c r="M38" i="14"/>
  <c r="M42" i="14" s="1"/>
  <c r="L38" i="14"/>
  <c r="L42" i="14" s="1"/>
  <c r="K38" i="14"/>
  <c r="J38" i="14"/>
  <c r="J42" i="14" s="1"/>
  <c r="I38" i="14"/>
  <c r="I42" i="14" s="1"/>
  <c r="H38" i="14"/>
  <c r="H42" i="14" s="1"/>
  <c r="G38" i="14"/>
  <c r="F38" i="14"/>
  <c r="F42" i="14" s="1"/>
  <c r="U30" i="14"/>
  <c r="W29" i="14"/>
  <c r="V29" i="14"/>
  <c r="V16" i="14" s="1"/>
  <c r="W68" i="13" s="1"/>
  <c r="U29" i="14"/>
  <c r="U16" i="14" s="1"/>
  <c r="V68" i="13" s="1"/>
  <c r="T29" i="14"/>
  <c r="T16" i="14" s="1"/>
  <c r="U68" i="13" s="1"/>
  <c r="S29" i="14"/>
  <c r="R29" i="14"/>
  <c r="R16" i="14" s="1"/>
  <c r="S68" i="13" s="1"/>
  <c r="Q29" i="14"/>
  <c r="Q16" i="14" s="1"/>
  <c r="R68" i="13" s="1"/>
  <c r="P29" i="14"/>
  <c r="P16" i="14" s="1"/>
  <c r="Q68" i="13" s="1"/>
  <c r="O29" i="14"/>
  <c r="N29" i="14"/>
  <c r="N16" i="14" s="1"/>
  <c r="O68" i="13" s="1"/>
  <c r="M29" i="14"/>
  <c r="M16" i="14" s="1"/>
  <c r="N68" i="13" s="1"/>
  <c r="L29" i="14"/>
  <c r="L16" i="14" s="1"/>
  <c r="M68" i="13" s="1"/>
  <c r="K29" i="14"/>
  <c r="J29" i="14"/>
  <c r="J16" i="14" s="1"/>
  <c r="K68" i="13" s="1"/>
  <c r="I29" i="14"/>
  <c r="I16" i="14" s="1"/>
  <c r="J68" i="13" s="1"/>
  <c r="H29" i="14"/>
  <c r="H16" i="14" s="1"/>
  <c r="I68" i="13" s="1"/>
  <c r="G29" i="14"/>
  <c r="F29" i="14"/>
  <c r="F16" i="14" s="1"/>
  <c r="G68" i="13" s="1"/>
  <c r="W26" i="14"/>
  <c r="W13" i="14" s="1"/>
  <c r="X65" i="13" s="1"/>
  <c r="V26" i="14"/>
  <c r="V13" i="14" s="1"/>
  <c r="W65" i="13" s="1"/>
  <c r="U26" i="14"/>
  <c r="T26" i="14"/>
  <c r="T13" i="14" s="1"/>
  <c r="U65" i="13" s="1"/>
  <c r="S26" i="14"/>
  <c r="S13" i="14" s="1"/>
  <c r="T65" i="13" s="1"/>
  <c r="R26" i="14"/>
  <c r="R13" i="14" s="1"/>
  <c r="S65" i="13" s="1"/>
  <c r="Q26" i="14"/>
  <c r="P26" i="14"/>
  <c r="P13" i="14" s="1"/>
  <c r="Q65" i="13" s="1"/>
  <c r="O26" i="14"/>
  <c r="O13" i="14" s="1"/>
  <c r="P65" i="13" s="1"/>
  <c r="N26" i="14"/>
  <c r="N13" i="14" s="1"/>
  <c r="O65" i="13" s="1"/>
  <c r="M26" i="14"/>
  <c r="L26" i="14"/>
  <c r="L13" i="14" s="1"/>
  <c r="M65" i="13" s="1"/>
  <c r="K26" i="14"/>
  <c r="K13" i="14" s="1"/>
  <c r="L65" i="13" s="1"/>
  <c r="J26" i="14"/>
  <c r="J13" i="14" s="1"/>
  <c r="K65" i="13" s="1"/>
  <c r="I26" i="14"/>
  <c r="H26" i="14"/>
  <c r="H13" i="14" s="1"/>
  <c r="I65" i="13" s="1"/>
  <c r="G26" i="14"/>
  <c r="G13" i="14" s="1"/>
  <c r="H65" i="13" s="1"/>
  <c r="F26" i="14"/>
  <c r="F13" i="14" s="1"/>
  <c r="G65" i="13" s="1"/>
  <c r="E39" i="14"/>
  <c r="E37" i="14"/>
  <c r="E36" i="14"/>
  <c r="E35" i="14"/>
  <c r="E34" i="14"/>
  <c r="E33" i="14"/>
  <c r="E32" i="14"/>
  <c r="E31" i="14"/>
  <c r="E28" i="14"/>
  <c r="E27" i="14"/>
  <c r="E25" i="14"/>
  <c r="E24" i="14"/>
  <c r="E23" i="14"/>
  <c r="E22" i="14"/>
  <c r="E21" i="14"/>
  <c r="E20" i="14"/>
  <c r="F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H42" i="12" s="1"/>
  <c r="G41" i="12"/>
  <c r="W38" i="12"/>
  <c r="W42" i="12" s="1"/>
  <c r="V38" i="12"/>
  <c r="U38" i="12"/>
  <c r="U42" i="12" s="1"/>
  <c r="T38" i="12"/>
  <c r="S38" i="12"/>
  <c r="S42" i="12" s="1"/>
  <c r="R38" i="12"/>
  <c r="Q38" i="12"/>
  <c r="Q42" i="12" s="1"/>
  <c r="P38" i="12"/>
  <c r="O38" i="12"/>
  <c r="O42" i="12" s="1"/>
  <c r="N38" i="12"/>
  <c r="N42" i="12" s="1"/>
  <c r="M38" i="12"/>
  <c r="M42" i="12" s="1"/>
  <c r="L38" i="12"/>
  <c r="K38" i="12"/>
  <c r="K42" i="12" s="1"/>
  <c r="J38" i="12"/>
  <c r="I38" i="12"/>
  <c r="I42" i="12" s="1"/>
  <c r="H38" i="12"/>
  <c r="G38" i="12"/>
  <c r="G42" i="12" s="1"/>
  <c r="F38" i="12"/>
  <c r="N30" i="12"/>
  <c r="W29" i="12"/>
  <c r="V29" i="12"/>
  <c r="V16" i="12" s="1"/>
  <c r="W55" i="13" s="1"/>
  <c r="U29" i="12"/>
  <c r="T29" i="12"/>
  <c r="S29" i="12"/>
  <c r="S16" i="12" s="1"/>
  <c r="T55" i="13" s="1"/>
  <c r="R29" i="12"/>
  <c r="R16" i="12" s="1"/>
  <c r="S55" i="13" s="1"/>
  <c r="Q29" i="12"/>
  <c r="P29" i="12"/>
  <c r="O29" i="12"/>
  <c r="N29" i="12"/>
  <c r="M29" i="12"/>
  <c r="M16" i="12" s="1"/>
  <c r="N55" i="13" s="1"/>
  <c r="L29" i="12"/>
  <c r="K29" i="12"/>
  <c r="J29" i="12"/>
  <c r="J16" i="12" s="1"/>
  <c r="K55" i="13" s="1"/>
  <c r="I29" i="12"/>
  <c r="H29" i="12"/>
  <c r="G29" i="12"/>
  <c r="G16" i="12" s="1"/>
  <c r="H55" i="13" s="1"/>
  <c r="F29" i="12"/>
  <c r="W26" i="12"/>
  <c r="W13" i="12" s="1"/>
  <c r="X52" i="13" s="1"/>
  <c r="V26" i="12"/>
  <c r="V13" i="12" s="1"/>
  <c r="W52" i="13" s="1"/>
  <c r="U26" i="12"/>
  <c r="T26" i="12"/>
  <c r="T13" i="12" s="1"/>
  <c r="U52" i="13" s="1"/>
  <c r="S26" i="12"/>
  <c r="S13" i="12" s="1"/>
  <c r="T52" i="13" s="1"/>
  <c r="R26" i="12"/>
  <c r="R13" i="12" s="1"/>
  <c r="Q26" i="12"/>
  <c r="P26" i="12"/>
  <c r="P13" i="12" s="1"/>
  <c r="Q52" i="13" s="1"/>
  <c r="O26" i="12"/>
  <c r="O13" i="12" s="1"/>
  <c r="P52" i="13" s="1"/>
  <c r="N26" i="12"/>
  <c r="N13" i="12" s="1"/>
  <c r="O52" i="13" s="1"/>
  <c r="M26" i="12"/>
  <c r="L26" i="12"/>
  <c r="L13" i="12" s="1"/>
  <c r="M52" i="13" s="1"/>
  <c r="K26" i="12"/>
  <c r="K13" i="12" s="1"/>
  <c r="L52" i="13" s="1"/>
  <c r="J26" i="12"/>
  <c r="J13" i="12" s="1"/>
  <c r="K52" i="13" s="1"/>
  <c r="I26" i="12"/>
  <c r="H26" i="12"/>
  <c r="H13" i="12" s="1"/>
  <c r="I52" i="13" s="1"/>
  <c r="G26" i="12"/>
  <c r="G13" i="12" s="1"/>
  <c r="H52" i="13" s="1"/>
  <c r="F26" i="12"/>
  <c r="F13" i="12" s="1"/>
  <c r="G52" i="13" s="1"/>
  <c r="E40" i="12"/>
  <c r="E33" i="12"/>
  <c r="E32" i="12"/>
  <c r="E28" i="12"/>
  <c r="E21" i="12"/>
  <c r="E20" i="12"/>
  <c r="N42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F41" i="11"/>
  <c r="G41" i="11"/>
  <c r="W38" i="11"/>
  <c r="W42" i="11" s="1"/>
  <c r="V38" i="11"/>
  <c r="V42" i="11" s="1"/>
  <c r="U38" i="11"/>
  <c r="T38" i="11"/>
  <c r="T42" i="11" s="1"/>
  <c r="S38" i="11"/>
  <c r="S42" i="11" s="1"/>
  <c r="R38" i="11"/>
  <c r="R42" i="11" s="1"/>
  <c r="Q38" i="11"/>
  <c r="P38" i="11"/>
  <c r="P42" i="11" s="1"/>
  <c r="O38" i="11"/>
  <c r="O42" i="11" s="1"/>
  <c r="N38" i="11"/>
  <c r="M38" i="11"/>
  <c r="L38" i="11"/>
  <c r="L42" i="11" s="1"/>
  <c r="K38" i="11"/>
  <c r="K42" i="11" s="1"/>
  <c r="J38" i="11"/>
  <c r="J42" i="11" s="1"/>
  <c r="I38" i="11"/>
  <c r="H38" i="11"/>
  <c r="H42" i="11" s="1"/>
  <c r="G38" i="11"/>
  <c r="G42" i="11" s="1"/>
  <c r="F38" i="11"/>
  <c r="W29" i="11"/>
  <c r="W16" i="11" s="1"/>
  <c r="X42" i="13" s="1"/>
  <c r="V29" i="11"/>
  <c r="V16" i="11" s="1"/>
  <c r="W42" i="13" s="1"/>
  <c r="U29" i="11"/>
  <c r="T29" i="11"/>
  <c r="T16" i="11" s="1"/>
  <c r="U42" i="13" s="1"/>
  <c r="S29" i="11"/>
  <c r="S16" i="11" s="1"/>
  <c r="T42" i="13" s="1"/>
  <c r="R29" i="11"/>
  <c r="R16" i="11" s="1"/>
  <c r="S42" i="13" s="1"/>
  <c r="Q29" i="11"/>
  <c r="P29" i="11"/>
  <c r="P16" i="11" s="1"/>
  <c r="Q42" i="13" s="1"/>
  <c r="O29" i="11"/>
  <c r="O16" i="11" s="1"/>
  <c r="P42" i="13" s="1"/>
  <c r="N29" i="11"/>
  <c r="N16" i="11" s="1"/>
  <c r="O42" i="13" s="1"/>
  <c r="M29" i="11"/>
  <c r="L29" i="11"/>
  <c r="L16" i="11" s="1"/>
  <c r="M42" i="13" s="1"/>
  <c r="K29" i="11"/>
  <c r="K16" i="11" s="1"/>
  <c r="L42" i="13" s="1"/>
  <c r="J29" i="11"/>
  <c r="J16" i="11" s="1"/>
  <c r="K42" i="13" s="1"/>
  <c r="I29" i="11"/>
  <c r="H29" i="11"/>
  <c r="H16" i="11" s="1"/>
  <c r="I42" i="13" s="1"/>
  <c r="G29" i="11"/>
  <c r="G16" i="11" s="1"/>
  <c r="H42" i="13" s="1"/>
  <c r="F29" i="11"/>
  <c r="W26" i="11"/>
  <c r="V26" i="11"/>
  <c r="V13" i="11" s="1"/>
  <c r="W39" i="13" s="1"/>
  <c r="U26" i="11"/>
  <c r="U13" i="11" s="1"/>
  <c r="V39" i="13" s="1"/>
  <c r="T26" i="11"/>
  <c r="T13" i="11" s="1"/>
  <c r="U39" i="13" s="1"/>
  <c r="S26" i="11"/>
  <c r="R26" i="11"/>
  <c r="R13" i="11" s="1"/>
  <c r="S39" i="13" s="1"/>
  <c r="Q26" i="11"/>
  <c r="Q13" i="11" s="1"/>
  <c r="R39" i="13" s="1"/>
  <c r="P26" i="11"/>
  <c r="P13" i="11" s="1"/>
  <c r="Q39" i="13" s="1"/>
  <c r="O26" i="11"/>
  <c r="N26" i="11"/>
  <c r="N13" i="11" s="1"/>
  <c r="O39" i="13" s="1"/>
  <c r="M26" i="11"/>
  <c r="M13" i="11" s="1"/>
  <c r="N39" i="13" s="1"/>
  <c r="L26" i="11"/>
  <c r="L13" i="11" s="1"/>
  <c r="K26" i="11"/>
  <c r="J26" i="11"/>
  <c r="J13" i="11" s="1"/>
  <c r="K39" i="13" s="1"/>
  <c r="I26" i="11"/>
  <c r="I13" i="11" s="1"/>
  <c r="J39" i="13" s="1"/>
  <c r="H26" i="11"/>
  <c r="H13" i="11" s="1"/>
  <c r="I39" i="13" s="1"/>
  <c r="G26" i="11"/>
  <c r="F26" i="11"/>
  <c r="F13" i="11" s="1"/>
  <c r="G39" i="13" s="1"/>
  <c r="E40" i="11"/>
  <c r="E33" i="11"/>
  <c r="E32" i="11"/>
  <c r="E28" i="11"/>
  <c r="E21" i="11"/>
  <c r="E20" i="11"/>
  <c r="W41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H42" i="10" s="1"/>
  <c r="G41" i="10"/>
  <c r="F41" i="10"/>
  <c r="E40" i="10"/>
  <c r="E33" i="10"/>
  <c r="E32" i="10"/>
  <c r="W38" i="10"/>
  <c r="W42" i="10" s="1"/>
  <c r="V38" i="10"/>
  <c r="V42" i="10" s="1"/>
  <c r="U38" i="10"/>
  <c r="U42" i="10" s="1"/>
  <c r="T38" i="10"/>
  <c r="T42" i="10" s="1"/>
  <c r="S38" i="10"/>
  <c r="R38" i="10"/>
  <c r="R42" i="10" s="1"/>
  <c r="Q38" i="10"/>
  <c r="Q42" i="10" s="1"/>
  <c r="P38" i="10"/>
  <c r="O38" i="10"/>
  <c r="O42" i="10" s="1"/>
  <c r="N38" i="10"/>
  <c r="N42" i="10" s="1"/>
  <c r="M38" i="10"/>
  <c r="L38" i="10"/>
  <c r="K38" i="10"/>
  <c r="K42" i="10" s="1"/>
  <c r="J38" i="10"/>
  <c r="J42" i="10" s="1"/>
  <c r="I38" i="10"/>
  <c r="I42" i="10" s="1"/>
  <c r="H38" i="10"/>
  <c r="G38" i="10"/>
  <c r="F38" i="10"/>
  <c r="F42" i="10" s="1"/>
  <c r="W29" i="10"/>
  <c r="W16" i="10" s="1"/>
  <c r="X29" i="13" s="1"/>
  <c r="V29" i="10"/>
  <c r="V16" i="10" s="1"/>
  <c r="W29" i="13" s="1"/>
  <c r="U29" i="10"/>
  <c r="U16" i="10" s="1"/>
  <c r="V29" i="13" s="1"/>
  <c r="T29" i="10"/>
  <c r="S29" i="10"/>
  <c r="R29" i="10"/>
  <c r="Q29" i="10"/>
  <c r="Q16" i="10" s="1"/>
  <c r="R29" i="13" s="1"/>
  <c r="P29" i="10"/>
  <c r="O29" i="10"/>
  <c r="O16" i="10" s="1"/>
  <c r="P29" i="13" s="1"/>
  <c r="N29" i="10"/>
  <c r="N16" i="10" s="1"/>
  <c r="O29" i="13" s="1"/>
  <c r="M29" i="10"/>
  <c r="L29" i="10"/>
  <c r="K29" i="10"/>
  <c r="K16" i="10" s="1"/>
  <c r="J29" i="10"/>
  <c r="J16" i="10" s="1"/>
  <c r="K29" i="13" s="1"/>
  <c r="I29" i="10"/>
  <c r="I16" i="10" s="1"/>
  <c r="J29" i="13" s="1"/>
  <c r="H29" i="10"/>
  <c r="G29" i="10"/>
  <c r="F29" i="10"/>
  <c r="F16" i="10" s="1"/>
  <c r="G29" i="13" s="1"/>
  <c r="E28" i="10"/>
  <c r="E21" i="10"/>
  <c r="E20" i="10"/>
  <c r="W26" i="10"/>
  <c r="W30" i="10" s="1"/>
  <c r="W17" i="10" s="1"/>
  <c r="X30" i="13" s="1"/>
  <c r="V26" i="10"/>
  <c r="U26" i="10"/>
  <c r="U13" i="10" s="1"/>
  <c r="V26" i="13" s="1"/>
  <c r="T26" i="10"/>
  <c r="S26" i="10"/>
  <c r="R26" i="10"/>
  <c r="Q26" i="10"/>
  <c r="Q30" i="10" s="1"/>
  <c r="P26" i="10"/>
  <c r="P30" i="10" s="1"/>
  <c r="O26" i="10"/>
  <c r="O13" i="10" s="1"/>
  <c r="P26" i="13" s="1"/>
  <c r="N26" i="10"/>
  <c r="M26" i="10"/>
  <c r="L26" i="10"/>
  <c r="L13" i="10" s="1"/>
  <c r="M26" i="13" s="1"/>
  <c r="K26" i="10"/>
  <c r="K30" i="10" s="1"/>
  <c r="K17" i="10" s="1"/>
  <c r="L30" i="13" s="1"/>
  <c r="J26" i="10"/>
  <c r="J30" i="10" s="1"/>
  <c r="J17" i="10" s="1"/>
  <c r="K30" i="13" s="1"/>
  <c r="I26" i="10"/>
  <c r="I13" i="10" s="1"/>
  <c r="J26" i="13" s="1"/>
  <c r="H26" i="10"/>
  <c r="G26" i="10"/>
  <c r="F26" i="10"/>
  <c r="F30" i="10" s="1"/>
  <c r="M42" i="10" l="1"/>
  <c r="H30" i="11"/>
  <c r="H17" i="11" s="1"/>
  <c r="I43" i="13" s="1"/>
  <c r="F16" i="12"/>
  <c r="G55" i="13" s="1"/>
  <c r="F42" i="12"/>
  <c r="J42" i="12"/>
  <c r="R42" i="12"/>
  <c r="V42" i="12"/>
  <c r="I13" i="14"/>
  <c r="J65" i="13" s="1"/>
  <c r="M13" i="14"/>
  <c r="N65" i="13" s="1"/>
  <c r="Q13" i="14"/>
  <c r="R65" i="13" s="1"/>
  <c r="U13" i="14"/>
  <c r="V65" i="13" s="1"/>
  <c r="E65" i="13" s="1"/>
  <c r="G16" i="14"/>
  <c r="H68" i="13" s="1"/>
  <c r="K16" i="14"/>
  <c r="L68" i="13" s="1"/>
  <c r="O16" i="14"/>
  <c r="P68" i="13" s="1"/>
  <c r="S16" i="14"/>
  <c r="T68" i="13" s="1"/>
  <c r="E68" i="13" s="1"/>
  <c r="W16" i="14"/>
  <c r="X68" i="13" s="1"/>
  <c r="E45" i="13"/>
  <c r="L42" i="10"/>
  <c r="P42" i="10"/>
  <c r="P17" i="10" s="1"/>
  <c r="Q30" i="13" s="1"/>
  <c r="G13" i="11"/>
  <c r="H39" i="13" s="1"/>
  <c r="K13" i="11"/>
  <c r="L39" i="13" s="1"/>
  <c r="O13" i="11"/>
  <c r="P39" i="13" s="1"/>
  <c r="S13" i="11"/>
  <c r="T39" i="13" s="1"/>
  <c r="E39" i="13" s="1"/>
  <c r="W13" i="11"/>
  <c r="X39" i="13" s="1"/>
  <c r="I16" i="11"/>
  <c r="J42" i="13" s="1"/>
  <c r="M16" i="11"/>
  <c r="N42" i="13" s="1"/>
  <c r="Q16" i="11"/>
  <c r="R42" i="13" s="1"/>
  <c r="U16" i="11"/>
  <c r="V42" i="13" s="1"/>
  <c r="N30" i="11"/>
  <c r="N17" i="11" s="1"/>
  <c r="O43" i="13" s="1"/>
  <c r="I42" i="11"/>
  <c r="M42" i="11"/>
  <c r="Q42" i="11"/>
  <c r="U42" i="11"/>
  <c r="I13" i="12"/>
  <c r="J52" i="13" s="1"/>
  <c r="M13" i="12"/>
  <c r="N52" i="13" s="1"/>
  <c r="E52" i="13" s="1"/>
  <c r="Q13" i="12"/>
  <c r="R52" i="13" s="1"/>
  <c r="U13" i="12"/>
  <c r="V52" i="13" s="1"/>
  <c r="I30" i="14"/>
  <c r="I17" i="14" s="1"/>
  <c r="J69" i="13" s="1"/>
  <c r="G42" i="14"/>
  <c r="K42" i="14"/>
  <c r="O42" i="14"/>
  <c r="S42" i="14"/>
  <c r="W42" i="14"/>
  <c r="K12" i="13"/>
  <c r="W12" i="13"/>
  <c r="E50" i="13"/>
  <c r="N17" i="12"/>
  <c r="O56" i="13" s="1"/>
  <c r="U17" i="14"/>
  <c r="V69" i="13" s="1"/>
  <c r="F13" i="10"/>
  <c r="G26" i="13" s="1"/>
  <c r="R13" i="10"/>
  <c r="S26" i="13" s="1"/>
  <c r="H16" i="10"/>
  <c r="I29" i="13" s="1"/>
  <c r="P16" i="10"/>
  <c r="Q29" i="13" s="1"/>
  <c r="T16" i="10"/>
  <c r="U29" i="13" s="1"/>
  <c r="G42" i="10"/>
  <c r="S42" i="10"/>
  <c r="L16" i="12"/>
  <c r="M55" i="13" s="1"/>
  <c r="P16" i="12"/>
  <c r="Q55" i="13" s="1"/>
  <c r="H30" i="12"/>
  <c r="L42" i="12"/>
  <c r="P42" i="12"/>
  <c r="T42" i="12"/>
  <c r="T30" i="14"/>
  <c r="T17" i="14" s="1"/>
  <c r="U69" i="13" s="1"/>
  <c r="L12" i="13"/>
  <c r="X12" i="13"/>
  <c r="M30" i="11"/>
  <c r="H16" i="12"/>
  <c r="I55" i="13" s="1"/>
  <c r="N16" i="12"/>
  <c r="O55" i="13" s="1"/>
  <c r="T16" i="12"/>
  <c r="U55" i="13" s="1"/>
  <c r="M30" i="12"/>
  <c r="M17" i="12" s="1"/>
  <c r="N56" i="13" s="1"/>
  <c r="E29" i="14"/>
  <c r="O30" i="14"/>
  <c r="O17" i="14" s="1"/>
  <c r="P69" i="13" s="1"/>
  <c r="G13" i="10"/>
  <c r="H26" i="13" s="1"/>
  <c r="G30" i="10"/>
  <c r="G17" i="10" s="1"/>
  <c r="H30" i="13" s="1"/>
  <c r="M13" i="10"/>
  <c r="N26" i="13" s="1"/>
  <c r="M30" i="10"/>
  <c r="M17" i="10" s="1"/>
  <c r="N30" i="13" s="1"/>
  <c r="S13" i="10"/>
  <c r="T26" i="13" s="1"/>
  <c r="S30" i="10"/>
  <c r="Q17" i="10"/>
  <c r="R30" i="13" s="1"/>
  <c r="T30" i="11"/>
  <c r="T17" i="11" s="1"/>
  <c r="U43" i="13" s="1"/>
  <c r="T30" i="12"/>
  <c r="T17" i="12" s="1"/>
  <c r="U56" i="13" s="1"/>
  <c r="H30" i="14"/>
  <c r="H17" i="14" s="1"/>
  <c r="I69" i="13" s="1"/>
  <c r="S30" i="11"/>
  <c r="S17" i="11" s="1"/>
  <c r="T43" i="13" s="1"/>
  <c r="S30" i="12"/>
  <c r="S17" i="12" s="1"/>
  <c r="T56" i="13" s="1"/>
  <c r="H13" i="10"/>
  <c r="I26" i="13" s="1"/>
  <c r="H30" i="10"/>
  <c r="H17" i="10" s="1"/>
  <c r="I30" i="13" s="1"/>
  <c r="N13" i="10"/>
  <c r="O26" i="13" s="1"/>
  <c r="N30" i="10"/>
  <c r="N17" i="10" s="1"/>
  <c r="O30" i="13" s="1"/>
  <c r="T13" i="10"/>
  <c r="U26" i="13" s="1"/>
  <c r="T30" i="10"/>
  <c r="T17" i="10" s="1"/>
  <c r="U30" i="13" s="1"/>
  <c r="V30" i="10"/>
  <c r="V17" i="10" s="1"/>
  <c r="W30" i="13" s="1"/>
  <c r="G30" i="11"/>
  <c r="G17" i="11" s="1"/>
  <c r="H43" i="13" s="1"/>
  <c r="F42" i="11"/>
  <c r="G30" i="12"/>
  <c r="G17" i="12" s="1"/>
  <c r="H56" i="13" s="1"/>
  <c r="H17" i="12"/>
  <c r="I56" i="13" s="1"/>
  <c r="N30" i="14"/>
  <c r="N17" i="14" s="1"/>
  <c r="O69" i="13" s="1"/>
  <c r="J13" i="10"/>
  <c r="K26" i="13" s="1"/>
  <c r="F17" i="10"/>
  <c r="G30" i="13" s="1"/>
  <c r="I30" i="10"/>
  <c r="I17" i="10" s="1"/>
  <c r="J30" i="13" s="1"/>
  <c r="O30" i="10"/>
  <c r="O17" i="10" s="1"/>
  <c r="P30" i="13" s="1"/>
  <c r="U30" i="10"/>
  <c r="U17" i="10" s="1"/>
  <c r="V30" i="13" s="1"/>
  <c r="F16" i="11"/>
  <c r="G42" i="13" s="1"/>
  <c r="F30" i="11"/>
  <c r="F17" i="11" s="1"/>
  <c r="G43" i="13" s="1"/>
  <c r="L30" i="11"/>
  <c r="L17" i="11" s="1"/>
  <c r="M43" i="13" s="1"/>
  <c r="R30" i="11"/>
  <c r="R17" i="11" s="1"/>
  <c r="S43" i="13" s="1"/>
  <c r="F30" i="12"/>
  <c r="F17" i="12" s="1"/>
  <c r="G56" i="13" s="1"/>
  <c r="L30" i="12"/>
  <c r="L17" i="12" s="1"/>
  <c r="M56" i="13" s="1"/>
  <c r="R30" i="12"/>
  <c r="R17" i="12" s="1"/>
  <c r="S56" i="13" s="1"/>
  <c r="G30" i="14"/>
  <c r="M30" i="14"/>
  <c r="M17" i="14" s="1"/>
  <c r="N69" i="13" s="1"/>
  <c r="S30" i="14"/>
  <c r="S17" i="14" s="1"/>
  <c r="T69" i="13" s="1"/>
  <c r="J12" i="13"/>
  <c r="P12" i="13"/>
  <c r="V12" i="13"/>
  <c r="E34" i="13"/>
  <c r="E37" i="13"/>
  <c r="E59" i="13"/>
  <c r="E64" i="13"/>
  <c r="E67" i="13"/>
  <c r="E51" i="13"/>
  <c r="E53" i="13"/>
  <c r="L30" i="10"/>
  <c r="L17" i="10" s="1"/>
  <c r="M30" i="13" s="1"/>
  <c r="R30" i="10"/>
  <c r="R17" i="10" s="1"/>
  <c r="S30" i="13" s="1"/>
  <c r="I30" i="11"/>
  <c r="I17" i="11" s="1"/>
  <c r="J43" i="13" s="1"/>
  <c r="O30" i="11"/>
  <c r="O17" i="11" s="1"/>
  <c r="P43" i="13" s="1"/>
  <c r="U30" i="11"/>
  <c r="U17" i="11" s="1"/>
  <c r="V43" i="13" s="1"/>
  <c r="I16" i="12"/>
  <c r="J55" i="13" s="1"/>
  <c r="O16" i="12"/>
  <c r="P55" i="13" s="1"/>
  <c r="U16" i="12"/>
  <c r="V55" i="13" s="1"/>
  <c r="I30" i="12"/>
  <c r="I17" i="12" s="1"/>
  <c r="J56" i="13" s="1"/>
  <c r="O30" i="12"/>
  <c r="O17" i="12" s="1"/>
  <c r="P56" i="13" s="1"/>
  <c r="U30" i="12"/>
  <c r="U17" i="12" s="1"/>
  <c r="V56" i="13" s="1"/>
  <c r="J30" i="14"/>
  <c r="J17" i="14" s="1"/>
  <c r="K69" i="13" s="1"/>
  <c r="P30" i="14"/>
  <c r="P17" i="14" s="1"/>
  <c r="Q69" i="13" s="1"/>
  <c r="V30" i="14"/>
  <c r="V17" i="14" s="1"/>
  <c r="W69" i="13" s="1"/>
  <c r="E25" i="13"/>
  <c r="G12" i="13"/>
  <c r="M12" i="13"/>
  <c r="S12" i="13"/>
  <c r="P13" i="10"/>
  <c r="Q26" i="13" s="1"/>
  <c r="L16" i="10"/>
  <c r="M29" i="13" s="1"/>
  <c r="J30" i="11"/>
  <c r="J17" i="11" s="1"/>
  <c r="K43" i="13" s="1"/>
  <c r="V30" i="11"/>
  <c r="V17" i="11" s="1"/>
  <c r="W43" i="13" s="1"/>
  <c r="J30" i="12"/>
  <c r="J17" i="12" s="1"/>
  <c r="K56" i="13" s="1"/>
  <c r="P30" i="12"/>
  <c r="P17" i="12" s="1"/>
  <c r="Q56" i="13" s="1"/>
  <c r="V30" i="12"/>
  <c r="K30" i="14"/>
  <c r="K17" i="14" s="1"/>
  <c r="L69" i="13" s="1"/>
  <c r="Q30" i="14"/>
  <c r="Q17" i="14" s="1"/>
  <c r="R69" i="13" s="1"/>
  <c r="W30" i="14"/>
  <c r="H12" i="13"/>
  <c r="N12" i="13"/>
  <c r="T12" i="13"/>
  <c r="V13" i="10"/>
  <c r="W26" i="13" s="1"/>
  <c r="R16" i="10"/>
  <c r="S29" i="13" s="1"/>
  <c r="P30" i="11"/>
  <c r="P17" i="11" s="1"/>
  <c r="Q43" i="13" s="1"/>
  <c r="K13" i="10"/>
  <c r="L26" i="13" s="1"/>
  <c r="Q13" i="10"/>
  <c r="R26" i="13" s="1"/>
  <c r="W13" i="10"/>
  <c r="X26" i="13" s="1"/>
  <c r="G16" i="10"/>
  <c r="H29" i="13" s="1"/>
  <c r="M16" i="10"/>
  <c r="N29" i="13" s="1"/>
  <c r="S16" i="10"/>
  <c r="T29" i="13" s="1"/>
  <c r="K30" i="11"/>
  <c r="K17" i="11" s="1"/>
  <c r="L43" i="13" s="1"/>
  <c r="Q30" i="11"/>
  <c r="Q17" i="11" s="1"/>
  <c r="R43" i="13" s="1"/>
  <c r="W30" i="11"/>
  <c r="W17" i="11" s="1"/>
  <c r="X43" i="13" s="1"/>
  <c r="K16" i="12"/>
  <c r="L55" i="13" s="1"/>
  <c r="Q16" i="12"/>
  <c r="R55" i="13" s="1"/>
  <c r="W16" i="12"/>
  <c r="X55" i="13" s="1"/>
  <c r="K30" i="12"/>
  <c r="K17" i="12" s="1"/>
  <c r="L56" i="13" s="1"/>
  <c r="Q30" i="12"/>
  <c r="Q17" i="12" s="1"/>
  <c r="R56" i="13" s="1"/>
  <c r="W30" i="12"/>
  <c r="W17" i="12" s="1"/>
  <c r="X56" i="13" s="1"/>
  <c r="F30" i="14"/>
  <c r="F17" i="14" s="1"/>
  <c r="G69" i="13" s="1"/>
  <c r="L30" i="14"/>
  <c r="L17" i="14" s="1"/>
  <c r="M69" i="13" s="1"/>
  <c r="R30" i="14"/>
  <c r="R17" i="14" s="1"/>
  <c r="S69" i="13" s="1"/>
  <c r="I12" i="13"/>
  <c r="O12" i="13"/>
  <c r="U12" i="13"/>
  <c r="E62" i="13"/>
  <c r="E66" i="13"/>
  <c r="E60" i="13"/>
  <c r="E61" i="13"/>
  <c r="E63" i="13"/>
  <c r="E48" i="13"/>
  <c r="E49" i="13"/>
  <c r="E47" i="13"/>
  <c r="E46" i="13"/>
  <c r="E54" i="13"/>
  <c r="E33" i="13"/>
  <c r="E36" i="13"/>
  <c r="E40" i="13"/>
  <c r="E41" i="13"/>
  <c r="E38" i="13"/>
  <c r="E35" i="13"/>
  <c r="E24" i="13"/>
  <c r="E21" i="13"/>
  <c r="E20" i="13"/>
  <c r="E28" i="13"/>
  <c r="E22" i="13"/>
  <c r="E23" i="13"/>
  <c r="E27" i="13"/>
  <c r="E58" i="13"/>
  <c r="E32" i="13"/>
  <c r="E40" i="14"/>
  <c r="E15" i="14"/>
  <c r="E42" i="14"/>
  <c r="E41" i="14"/>
  <c r="E26" i="14"/>
  <c r="E7" i="14"/>
  <c r="E8" i="14"/>
  <c r="E7" i="12"/>
  <c r="E8" i="12"/>
  <c r="E15" i="12"/>
  <c r="E15" i="11"/>
  <c r="E7" i="11"/>
  <c r="E8" i="11"/>
  <c r="E8" i="10"/>
  <c r="E7" i="10"/>
  <c r="E15" i="10"/>
  <c r="U3" i="15"/>
  <c r="U2" i="15"/>
  <c r="V3" i="13"/>
  <c r="V2" i="13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G5" i="13"/>
  <c r="V17" i="12" l="1"/>
  <c r="W56" i="13" s="1"/>
  <c r="E56" i="13" s="1"/>
  <c r="E42" i="13"/>
  <c r="W17" i="14"/>
  <c r="X69" i="13" s="1"/>
  <c r="G17" i="14"/>
  <c r="H69" i="13" s="1"/>
  <c r="E69" i="13" s="1"/>
  <c r="E26" i="13"/>
  <c r="S17" i="10"/>
  <c r="T30" i="13" s="1"/>
  <c r="E30" i="13" s="1"/>
  <c r="M17" i="11"/>
  <c r="N43" i="13" s="1"/>
  <c r="E43" i="13" s="1"/>
  <c r="E55" i="13"/>
  <c r="E29" i="13"/>
  <c r="E30" i="14"/>
  <c r="E12" i="13"/>
  <c r="E27" i="12"/>
  <c r="E26" i="12"/>
  <c r="E24" i="12"/>
  <c r="E23" i="12"/>
  <c r="E22" i="12"/>
  <c r="E19" i="12"/>
  <c r="E27" i="11"/>
  <c r="E26" i="11"/>
  <c r="E24" i="11"/>
  <c r="E23" i="11"/>
  <c r="E22" i="11"/>
  <c r="E19" i="11"/>
  <c r="E10" i="14" l="1"/>
  <c r="E11" i="14"/>
  <c r="E9" i="14"/>
  <c r="E14" i="14"/>
  <c r="E29" i="11"/>
  <c r="E29" i="12"/>
  <c r="E25" i="11"/>
  <c r="E25" i="12"/>
  <c r="E6" i="15"/>
  <c r="E27" i="10"/>
  <c r="E26" i="10"/>
  <c r="E24" i="10"/>
  <c r="E23" i="10"/>
  <c r="E22" i="10"/>
  <c r="E19" i="10"/>
  <c r="E30" i="11" l="1"/>
  <c r="E30" i="12"/>
  <c r="E25" i="10"/>
  <c r="E29" i="10"/>
  <c r="E30" i="10" l="1"/>
  <c r="E39" i="10"/>
  <c r="E38" i="10"/>
  <c r="E36" i="10"/>
  <c r="E35" i="10"/>
  <c r="E34" i="10"/>
  <c r="E31" i="10"/>
  <c r="E39" i="12"/>
  <c r="E38" i="12"/>
  <c r="E36" i="12"/>
  <c r="E35" i="12"/>
  <c r="E34" i="12"/>
  <c r="E31" i="12"/>
  <c r="U2" i="12"/>
  <c r="E39" i="11"/>
  <c r="E38" i="11"/>
  <c r="E36" i="11"/>
  <c r="E35" i="11"/>
  <c r="E34" i="11"/>
  <c r="E31" i="11"/>
  <c r="U2" i="11"/>
  <c r="E19" i="14"/>
  <c r="U2" i="14"/>
  <c r="M76" i="13"/>
  <c r="L76" i="13" s="1"/>
  <c r="M75" i="13"/>
  <c r="L75" i="13" s="1"/>
  <c r="M74" i="13"/>
  <c r="L74" i="13" s="1"/>
  <c r="M73" i="13"/>
  <c r="L73" i="13" s="1"/>
  <c r="M72" i="13"/>
  <c r="L72" i="13" s="1"/>
  <c r="G76" i="13"/>
  <c r="G75" i="13"/>
  <c r="G74" i="13"/>
  <c r="G73" i="13"/>
  <c r="G72" i="13"/>
  <c r="B76" i="13"/>
  <c r="B75" i="13"/>
  <c r="B74" i="13"/>
  <c r="B73" i="13"/>
  <c r="B72" i="13"/>
  <c r="J7" i="13" l="1"/>
  <c r="E37" i="12"/>
  <c r="X7" i="13"/>
  <c r="N7" i="13"/>
  <c r="Q7" i="13"/>
  <c r="R7" i="13"/>
  <c r="O7" i="13"/>
  <c r="W7" i="13"/>
  <c r="M7" i="13"/>
  <c r="P7" i="13"/>
  <c r="V7" i="13"/>
  <c r="L7" i="13"/>
  <c r="U7" i="13"/>
  <c r="K7" i="13"/>
  <c r="T7" i="13"/>
  <c r="I7" i="13"/>
  <c r="W8" i="13"/>
  <c r="S7" i="13"/>
  <c r="H7" i="13"/>
  <c r="S11" i="13"/>
  <c r="O16" i="13"/>
  <c r="O11" i="13"/>
  <c r="S8" i="13"/>
  <c r="O8" i="13"/>
  <c r="K8" i="13"/>
  <c r="G8" i="13"/>
  <c r="H11" i="13"/>
  <c r="V11" i="13"/>
  <c r="R11" i="13"/>
  <c r="N11" i="13"/>
  <c r="J11" i="13"/>
  <c r="L11" i="13"/>
  <c r="U11" i="13"/>
  <c r="Q11" i="13"/>
  <c r="M11" i="13"/>
  <c r="V8" i="13"/>
  <c r="R8" i="13"/>
  <c r="J8" i="13"/>
  <c r="U8" i="13"/>
  <c r="Q8" i="13"/>
  <c r="M8" i="13"/>
  <c r="I10" i="13"/>
  <c r="I8" i="13"/>
  <c r="X8" i="13"/>
  <c r="P8" i="13"/>
  <c r="L8" i="13"/>
  <c r="H8" i="13"/>
  <c r="E11" i="12"/>
  <c r="E6" i="14"/>
  <c r="X11" i="13"/>
  <c r="N6" i="13"/>
  <c r="E6" i="10"/>
  <c r="E19" i="13"/>
  <c r="J9" i="13"/>
  <c r="E41" i="10"/>
  <c r="E6" i="12"/>
  <c r="O9" i="13"/>
  <c r="L6" i="13"/>
  <c r="H6" i="13"/>
  <c r="E10" i="11"/>
  <c r="X9" i="13"/>
  <c r="K9" i="13"/>
  <c r="M6" i="13"/>
  <c r="E37" i="10"/>
  <c r="M9" i="13"/>
  <c r="E9" i="11"/>
  <c r="H9" i="13"/>
  <c r="E13" i="11"/>
  <c r="E41" i="11"/>
  <c r="Q9" i="13"/>
  <c r="V6" i="13"/>
  <c r="U9" i="13"/>
  <c r="E14" i="11"/>
  <c r="G6" i="13"/>
  <c r="Q6" i="13"/>
  <c r="E14" i="12"/>
  <c r="I9" i="13"/>
  <c r="U6" i="13"/>
  <c r="T6" i="13"/>
  <c r="E6" i="11"/>
  <c r="E11" i="11"/>
  <c r="P9" i="13"/>
  <c r="E41" i="12"/>
  <c r="T9" i="13"/>
  <c r="E11" i="10"/>
  <c r="E9" i="12"/>
  <c r="G7" i="13"/>
  <c r="E10" i="12"/>
  <c r="L9" i="13"/>
  <c r="O6" i="13"/>
  <c r="S9" i="13"/>
  <c r="R6" i="13"/>
  <c r="E13" i="12"/>
  <c r="P6" i="13"/>
  <c r="K6" i="13"/>
  <c r="J6" i="13"/>
  <c r="W11" i="13"/>
  <c r="K11" i="13"/>
  <c r="E37" i="11"/>
  <c r="X6" i="13"/>
  <c r="S6" i="13"/>
  <c r="R9" i="13"/>
  <c r="N9" i="13"/>
  <c r="I11" i="13"/>
  <c r="E9" i="10"/>
  <c r="W9" i="13"/>
  <c r="W6" i="13"/>
  <c r="V9" i="13"/>
  <c r="E12" i="14" l="1"/>
  <c r="E16" i="14"/>
  <c r="N8" i="13"/>
  <c r="P10" i="13"/>
  <c r="O10" i="13"/>
  <c r="K10" i="13"/>
  <c r="L10" i="13"/>
  <c r="T8" i="13"/>
  <c r="T10" i="13"/>
  <c r="Q10" i="13"/>
  <c r="E7" i="13"/>
  <c r="X10" i="13"/>
  <c r="U10" i="13"/>
  <c r="V10" i="13"/>
  <c r="S10" i="13"/>
  <c r="W10" i="13"/>
  <c r="E10" i="10"/>
  <c r="P11" i="13"/>
  <c r="E13" i="10"/>
  <c r="R10" i="13"/>
  <c r="I16" i="13"/>
  <c r="J16" i="13"/>
  <c r="L13" i="13"/>
  <c r="W16" i="13"/>
  <c r="Q16" i="13"/>
  <c r="T16" i="13"/>
  <c r="X16" i="13"/>
  <c r="H16" i="13"/>
  <c r="S16" i="13"/>
  <c r="E16" i="12"/>
  <c r="V16" i="13"/>
  <c r="U16" i="13"/>
  <c r="N16" i="13"/>
  <c r="K16" i="13"/>
  <c r="X13" i="13"/>
  <c r="K13" i="13"/>
  <c r="V13" i="13"/>
  <c r="S13" i="13"/>
  <c r="E16" i="11"/>
  <c r="G9" i="13"/>
  <c r="E9" i="13" s="1"/>
  <c r="R13" i="13"/>
  <c r="W13" i="13"/>
  <c r="P13" i="13"/>
  <c r="P15" i="13"/>
  <c r="T13" i="13"/>
  <c r="N10" i="13"/>
  <c r="P16" i="13"/>
  <c r="R16" i="13"/>
  <c r="R15" i="13"/>
  <c r="U15" i="13"/>
  <c r="U13" i="13"/>
  <c r="E12" i="10"/>
  <c r="G10" i="13"/>
  <c r="E42" i="10"/>
  <c r="E12" i="11"/>
  <c r="M10" i="13"/>
  <c r="I13" i="13"/>
  <c r="T11" i="13"/>
  <c r="Q13" i="13"/>
  <c r="N13" i="13"/>
  <c r="L16" i="13"/>
  <c r="L15" i="13"/>
  <c r="O15" i="13"/>
  <c r="O13" i="13"/>
  <c r="O17" i="13" s="1"/>
  <c r="E42" i="12"/>
  <c r="H10" i="13"/>
  <c r="M16" i="13"/>
  <c r="E16" i="10"/>
  <c r="J13" i="13"/>
  <c r="E12" i="12"/>
  <c r="E42" i="11"/>
  <c r="I6" i="13"/>
  <c r="E6" i="13" s="1"/>
  <c r="E8" i="13" l="1"/>
  <c r="E17" i="14"/>
  <c r="N14" i="13"/>
  <c r="K14" i="13"/>
  <c r="Q14" i="13"/>
  <c r="S14" i="13"/>
  <c r="V14" i="13"/>
  <c r="E14" i="10"/>
  <c r="U14" i="13"/>
  <c r="I15" i="13"/>
  <c r="I14" i="13"/>
  <c r="W15" i="13"/>
  <c r="W14" i="13"/>
  <c r="X15" i="13"/>
  <c r="X14" i="13"/>
  <c r="P14" i="13"/>
  <c r="T15" i="13"/>
  <c r="T14" i="13"/>
  <c r="R14" i="13"/>
  <c r="L14" i="13"/>
  <c r="O14" i="13"/>
  <c r="N15" i="13"/>
  <c r="S15" i="13"/>
  <c r="V15" i="13"/>
  <c r="H15" i="13"/>
  <c r="Q15" i="13"/>
  <c r="J15" i="13"/>
  <c r="K15" i="13"/>
  <c r="J10" i="13"/>
  <c r="E10" i="13" s="1"/>
  <c r="M15" i="13"/>
  <c r="L17" i="13"/>
  <c r="I17" i="13"/>
  <c r="J17" i="13"/>
  <c r="W17" i="13"/>
  <c r="T17" i="13"/>
  <c r="Q17" i="13"/>
  <c r="X17" i="13"/>
  <c r="E17" i="11"/>
  <c r="U17" i="13"/>
  <c r="V17" i="13"/>
  <c r="S17" i="13"/>
  <c r="N17" i="13"/>
  <c r="E17" i="10"/>
  <c r="K17" i="13"/>
  <c r="G16" i="13"/>
  <c r="E16" i="13" s="1"/>
  <c r="M13" i="13"/>
  <c r="M17" i="13" s="1"/>
  <c r="H13" i="13"/>
  <c r="H17" i="13" s="1"/>
  <c r="P17" i="13"/>
  <c r="R17" i="13"/>
  <c r="E17" i="12"/>
  <c r="G13" i="13"/>
  <c r="G14" i="13"/>
  <c r="H14" i="13" l="1"/>
  <c r="J14" i="13"/>
  <c r="M14" i="13"/>
  <c r="G15" i="13"/>
  <c r="E15" i="13" s="1"/>
  <c r="E13" i="13"/>
  <c r="G17" i="13"/>
  <c r="E17" i="13" s="1"/>
  <c r="E14" i="13" l="1"/>
  <c r="E38" i="14"/>
  <c r="G11" i="13" l="1"/>
  <c r="E11" i="13" s="1"/>
  <c r="E13" i="14"/>
</calcChain>
</file>

<file path=xl/sharedStrings.xml><?xml version="1.0" encoding="utf-8"?>
<sst xmlns="http://schemas.openxmlformats.org/spreadsheetml/2006/main" count="670" uniqueCount="53">
  <si>
    <t>TOTAL</t>
  </si>
  <si>
    <t>MHRS</t>
  </si>
  <si>
    <t>Consuntivo prima della firma: 01/2001</t>
  </si>
  <si>
    <t>COMMITTED HRS FOR PRESENT JOBS</t>
  </si>
  <si>
    <t>A</t>
  </si>
  <si>
    <t>B</t>
  </si>
  <si>
    <t>C</t>
  </si>
  <si>
    <t>D</t>
  </si>
  <si>
    <t>E</t>
  </si>
  <si>
    <t>COMMITTED HRS FOR FUTURE JOBS</t>
  </si>
  <si>
    <t>ENGINEERING</t>
  </si>
  <si>
    <t>DEPT</t>
  </si>
  <si>
    <t>FOR PRODUCTION COST CENTERS</t>
  </si>
  <si>
    <t>REPORT TITLE :</t>
  </si>
  <si>
    <t>PROCESSING DATE :</t>
  </si>
  <si>
    <t>PERIOD :</t>
  </si>
  <si>
    <t>PROCUREMENT</t>
  </si>
  <si>
    <t>ENGG</t>
  </si>
  <si>
    <t>PROJ / CONST</t>
  </si>
  <si>
    <t>PROJECTS AND CONSTRUCTION</t>
  </si>
  <si>
    <t>SUMMARY</t>
  </si>
  <si>
    <t>CW</t>
  </si>
  <si>
    <t>Note : Manhours for the following future jobs are considered in this report.</t>
  </si>
  <si>
    <t>CW03</t>
  </si>
  <si>
    <t>CW02</t>
  </si>
  <si>
    <t>CW01</t>
  </si>
  <si>
    <t>PROJ &amp; CONST</t>
  </si>
  <si>
    <t>SERVICES</t>
  </si>
  <si>
    <t>CW04</t>
  </si>
  <si>
    <t>F</t>
  </si>
  <si>
    <t>G</t>
  </si>
  <si>
    <t>H</t>
  </si>
  <si>
    <t>I</t>
  </si>
  <si>
    <t>CONSTRUCTION</t>
  </si>
  <si>
    <t>OVERALL Tecnimont Pvt. Ltd. CORPORATE WORK LOAD</t>
  </si>
  <si>
    <t xml:space="preserve"> TECNIMONT PVT. LTD. CORPORATE WORK LOAD</t>
  </si>
  <si>
    <t>TECNIMONT PVT. LTD.  CORPORATE WORK LOAD</t>
  </si>
  <si>
    <t>ALL DEPARTMENTS</t>
  </si>
  <si>
    <t>AVAILABLE HOURS = N * EHM</t>
  </si>
  <si>
    <t>FUTURE RECRUITMENT (FR)</t>
  </si>
  <si>
    <t xml:space="preserve">MOVEMENT WITHIN INTERNAL DEPT (IM) </t>
  </si>
  <si>
    <t xml:space="preserve">MOVEMENT OF WORKFORCE TO OFFICE (MO) </t>
  </si>
  <si>
    <t>J</t>
  </si>
  <si>
    <t>K</t>
  </si>
  <si>
    <t>MOVEMENT OF WORKFORCE TO SITES  (MS)</t>
  </si>
  <si>
    <t>MOVEMENT OF WORKFORCE TO FOREIGN SITES  (MFS)</t>
  </si>
  <si>
    <t>MOVEMENT OF WORKFORCE FROM OUTSIDE CONTRACTORS (ME)</t>
  </si>
  <si>
    <t>L</t>
  </si>
  <si>
    <t>NET AVAILABLE HOURS (A + B + C + D + E + F + G)</t>
  </si>
  <si>
    <t>TOTAL COMMITTED HRS (I + J)</t>
  </si>
  <si>
    <t>BALANCE AVAILABLE (H - K)</t>
  </si>
  <si>
    <t>Mumbai</t>
  </si>
  <si>
    <t>Delhi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</si>
</sst>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0"/>
      <name val="Arial"/>
    </font>
    <font>
      <b/>
      <sz val="10"/>
      <name val="Arial"/>
      <family val="2"/>
    </font>
    <font>
      <b/>
      <sz val="8"/>
      <name val="Arial"/>
      <family val="2"/>
    </font>
    <font>
      <b/>
      <u/>
      <sz val="24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4"/>
      <name val="Arial"/>
      <family val="2"/>
    </font>
    <font>
      <b/>
      <i/>
      <sz val="12"/>
      <color indexed="10"/>
      <name val="Arial"/>
      <family val="2"/>
    </font>
    <font>
      <sz val="10"/>
      <color indexed="12"/>
      <name val="Arial Condensed Bold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10" fillId="0" borderId="0" xfId="0" applyFont="1"/>
    <xf numFmtId="0" fontId="9" fillId="0" borderId="0" xfId="0" applyFont="1"/>
    <xf numFmtId="17" fontId="2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5" fontId="1" fillId="0" borderId="1" xfId="0" quotePrefix="1" applyNumberFormat="1" applyFont="1" applyBorder="1" applyAlignment="1">
      <alignment horizontal="left"/>
    </xf>
    <xf numFmtId="15" fontId="1" fillId="0" borderId="1" xfId="0" applyNumberFormat="1" applyFont="1" applyBorder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15" fontId="1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2" fillId="0" borderId="14" xfId="0" applyFont="1" applyBorder="1" applyAlignment="1">
      <alignment horizontal="center" vertical="center" wrapText="1"/>
    </xf>
    <xf numFmtId="0" fontId="12" fillId="0" borderId="0" xfId="0" quotePrefix="1" applyFont="1"/>
    <xf numFmtId="0" fontId="11" fillId="0" borderId="0" xfId="0" applyFont="1" applyAlignment="1">
      <alignment horizontal="center"/>
    </xf>
    <xf numFmtId="0" fontId="7" fillId="3" borderId="17" xfId="0" applyFont="1" applyFill="1" applyBorder="1" applyAlignment="1">
      <alignment horizontal="center" vertical="center" textRotation="90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 vertical="center"/>
    </xf>
    <xf numFmtId="1" fontId="7" fillId="3" borderId="17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/>
    </xf>
    <xf numFmtId="0" fontId="6" fillId="3" borderId="25" xfId="0" applyFont="1" applyFill="1" applyBorder="1" applyAlignment="1">
      <alignment horizontal="center"/>
    </xf>
    <xf numFmtId="0" fontId="6" fillId="3" borderId="20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1" fillId="0" borderId="0" xfId="0" applyFont="1"/>
    <xf numFmtId="0" fontId="3" fillId="0" borderId="0" xfId="0" applyFon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17" fontId="13" fillId="4" borderId="0" xfId="0" applyNumberFormat="1" applyFont="1" applyFill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8" fillId="0" borderId="0" xfId="0" applyFont="1"/>
    <xf numFmtId="1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14" fontId="14" fillId="0" borderId="0" xfId="0" applyNumberFormat="1" applyFont="1" applyAlignment="1">
      <alignment horizontal="center"/>
    </xf>
    <xf numFmtId="17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8" fillId="3" borderId="18" xfId="0" applyFont="1" applyFill="1" applyBorder="1" applyAlignment="1">
      <alignment horizontal="left" vertical="center" wrapText="1"/>
    </xf>
    <xf numFmtId="0" fontId="8" fillId="3" borderId="20" xfId="0" applyFont="1" applyFill="1" applyBorder="1" applyAlignment="1">
      <alignment horizontal="left" vertical="center" wrapText="1"/>
    </xf>
    <xf numFmtId="49" fontId="13" fillId="4" borderId="11" xfId="0" applyNumberFormat="1" applyFont="1" applyFill="1" applyBorder="1" applyAlignment="1">
      <alignment horizontal="center" vertical="center" wrapText="1"/>
    </xf>
    <xf numFmtId="49" fontId="13" fillId="4" borderId="19" xfId="0" applyNumberFormat="1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/>
    </xf>
    <xf numFmtId="49" fontId="13" fillId="4" borderId="5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1" fontId="0" fillId="3" borderId="3" xfId="0" applyNumberFormat="1" applyFill="1" applyBorder="1" applyAlignment="1">
      <alignment horizontal="right" vertical="center"/>
    </xf>
    <xf numFmtId="1" fontId="0" fillId="3" borderId="8" xfId="0" applyNumberFormat="1" applyFill="1" applyBorder="1" applyAlignment="1">
      <alignment horizontal="right" vertical="center"/>
    </xf>
    <xf numFmtId="1" fontId="0" fillId="3" borderId="4" xfId="0" applyNumberFormat="1" applyFill="1" applyBorder="1" applyAlignment="1">
      <alignment horizontal="right" vertical="center"/>
    </xf>
    <xf numFmtId="1" fontId="0" fillId="3" borderId="12" xfId="0" applyNumberFormat="1" applyFill="1" applyBorder="1" applyAlignment="1">
      <alignment horizontal="right" vertical="center"/>
    </xf>
    <xf numFmtId="1" fontId="0" fillId="3" borderId="6" xfId="0" applyNumberFormat="1" applyFill="1" applyBorder="1" applyAlignment="1">
      <alignment horizontal="right" vertical="center"/>
    </xf>
    <xf numFmtId="1" fontId="0" fillId="3" borderId="10" xfId="0" applyNumberFormat="1" applyFill="1" applyBorder="1" applyAlignment="1">
      <alignment horizontal="right" vertical="center"/>
    </xf>
    <xf numFmtId="1" fontId="0" fillId="3" borderId="7" xfId="0" applyNumberFormat="1" applyFill="1" applyBorder="1" applyAlignment="1">
      <alignment horizontal="right" vertical="center"/>
    </xf>
    <xf numFmtId="1" fontId="0" fillId="3" borderId="13" xfId="0" applyNumberFormat="1" applyFill="1" applyBorder="1" applyAlignment="1">
      <alignment horizontal="right" vertical="center"/>
    </xf>
    <xf numFmtId="1" fontId="1" fillId="0" borderId="16" xfId="0" applyNumberFormat="1" applyFont="1" applyBorder="1" applyAlignment="1">
      <alignment horizontal="right" vertical="center"/>
    </xf>
    <xf numFmtId="1" fontId="1" fillId="0" borderId="26" xfId="0" applyNumberFormat="1" applyFont="1" applyBorder="1" applyAlignment="1">
      <alignment horizontal="right" vertical="center"/>
    </xf>
    <xf numFmtId="1" fontId="1" fillId="0" borderId="29" xfId="0" applyNumberFormat="1" applyFont="1" applyBorder="1" applyAlignment="1">
      <alignment horizontal="right" vertical="center"/>
    </xf>
    <xf numFmtId="1" fontId="0" fillId="3" borderId="21" xfId="0" applyNumberFormat="1" applyFill="1" applyBorder="1" applyAlignment="1">
      <alignment horizontal="right" vertical="center"/>
    </xf>
    <xf numFmtId="1" fontId="0" fillId="3" borderId="22" xfId="0" applyNumberFormat="1" applyFill="1" applyBorder="1" applyAlignment="1">
      <alignment horizontal="right" vertical="center"/>
    </xf>
    <xf numFmtId="1" fontId="0" fillId="3" borderId="20" xfId="0" applyNumberFormat="1" applyFill="1" applyBorder="1" applyAlignment="1">
      <alignment horizontal="right" vertical="center"/>
    </xf>
    <xf numFmtId="1" fontId="0" fillId="3" borderId="23" xfId="0" applyNumberFormat="1" applyFill="1" applyBorder="1" applyAlignment="1">
      <alignment horizontal="right" vertical="center"/>
    </xf>
    <xf numFmtId="1" fontId="0" fillId="3" borderId="45" xfId="0" applyNumberFormat="1" applyFill="1" applyBorder="1" applyAlignment="1">
      <alignment horizontal="right" vertical="center"/>
    </xf>
    <xf numFmtId="1" fontId="0" fillId="3" borderId="40" xfId="0" applyNumberFormat="1" applyFill="1" applyBorder="1" applyAlignment="1">
      <alignment horizontal="right" vertical="center"/>
    </xf>
    <xf numFmtId="1" fontId="0" fillId="3" borderId="37" xfId="0" applyNumberFormat="1" applyFill="1" applyBorder="1" applyAlignment="1">
      <alignment horizontal="right" vertical="center"/>
    </xf>
    <xf numFmtId="1" fontId="0" fillId="3" borderId="25" xfId="0" applyNumberFormat="1" applyFill="1" applyBorder="1" applyAlignment="1">
      <alignment horizontal="right" vertical="center"/>
    </xf>
    <xf numFmtId="1" fontId="0" fillId="3" borderId="41" xfId="0" applyNumberFormat="1" applyFill="1" applyBorder="1" applyAlignment="1">
      <alignment horizontal="right" vertical="center"/>
    </xf>
    <xf numFmtId="1" fontId="0" fillId="3" borderId="5" xfId="0" applyNumberFormat="1" applyFill="1" applyBorder="1" applyAlignment="1">
      <alignment horizontal="right" vertical="center"/>
    </xf>
    <xf numFmtId="1" fontId="0" fillId="3" borderId="9" xfId="0" applyNumberFormat="1" applyFill="1" applyBorder="1" applyAlignment="1">
      <alignment horizontal="right" vertical="center"/>
    </xf>
    <xf numFmtId="1" fontId="0" fillId="3" borderId="31" xfId="0" applyNumberFormat="1" applyFill="1" applyBorder="1" applyAlignment="1">
      <alignment horizontal="right" vertical="center"/>
    </xf>
    <xf numFmtId="0" fontId="0" fillId="3" borderId="17" xfId="0" applyFill="1" applyBorder="1" applyAlignment="1">
      <alignment horizontal="right" vertical="center"/>
    </xf>
    <xf numFmtId="1" fontId="7" fillId="3" borderId="17" xfId="0" applyNumberFormat="1" applyFont="1" applyFill="1" applyBorder="1" applyAlignment="1">
      <alignment horizontal="right" vertical="center"/>
    </xf>
    <xf numFmtId="1" fontId="0" fillId="3" borderId="33" xfId="0" applyNumberFormat="1" applyFill="1" applyBorder="1" applyAlignment="1">
      <alignment horizontal="right" vertical="center"/>
    </xf>
    <xf numFmtId="1" fontId="0" fillId="3" borderId="34" xfId="0" applyNumberFormat="1" applyFill="1" applyBorder="1" applyAlignment="1">
      <alignment horizontal="right" vertical="center"/>
    </xf>
    <xf numFmtId="1" fontId="0" fillId="3" borderId="35" xfId="0" applyNumberFormat="1" applyFill="1" applyBorder="1" applyAlignment="1">
      <alignment horizontal="right" vertical="center"/>
    </xf>
    <xf numFmtId="1" fontId="0" fillId="3" borderId="38" xfId="0" applyNumberFormat="1" applyFill="1" applyBorder="1" applyAlignment="1">
      <alignment horizontal="right" vertical="center"/>
    </xf>
    <xf numFmtId="1" fontId="0" fillId="3" borderId="42" xfId="0" applyNumberFormat="1" applyFill="1" applyBorder="1" applyAlignment="1">
      <alignment horizontal="right" vertical="center"/>
    </xf>
    <xf numFmtId="1" fontId="0" fillId="3" borderId="43" xfId="0" applyNumberFormat="1" applyFill="1" applyBorder="1" applyAlignment="1">
      <alignment horizontal="right" vertical="center"/>
    </xf>
    <xf numFmtId="1" fontId="0" fillId="3" borderId="44" xfId="0" applyNumberFormat="1" applyFill="1" applyBorder="1" applyAlignment="1">
      <alignment horizontal="right" vertical="center"/>
    </xf>
    <xf numFmtId="1" fontId="0" fillId="3" borderId="39" xfId="0" applyNumberFormat="1" applyFill="1" applyBorder="1" applyAlignment="1">
      <alignment horizontal="right" vertical="center"/>
    </xf>
    <xf numFmtId="1" fontId="0" fillId="3" borderId="36" xfId="0" applyNumberFormat="1" applyFill="1" applyBorder="1" applyAlignment="1">
      <alignment horizontal="right" vertical="center"/>
    </xf>
    <xf numFmtId="1" fontId="0" fillId="3" borderId="32" xfId="0" applyNumberFormat="1" applyFill="1" applyBorder="1" applyAlignment="1">
      <alignment horizontal="right" vertical="center"/>
    </xf>
    <xf numFmtId="0" fontId="8" fillId="3" borderId="17" xfId="0" applyFont="1" applyFill="1" applyBorder="1" applyAlignment="1">
      <alignment horizontal="left" vertical="center" wrapText="1"/>
    </xf>
    <xf numFmtId="1" fontId="1" fillId="0" borderId="15" xfId="0" applyNumberFormat="1" applyFont="1" applyBorder="1" applyAlignment="1">
      <alignment horizontal="right" vertical="center"/>
    </xf>
    <xf numFmtId="1" fontId="1" fillId="0" borderId="30" xfId="0" applyNumberFormat="1" applyFont="1" applyBorder="1" applyAlignment="1">
      <alignment horizontal="right" vertical="center"/>
    </xf>
    <xf numFmtId="0" fontId="13" fillId="4" borderId="11" xfId="0" applyFont="1" applyFill="1" applyBorder="1" applyAlignment="1">
      <alignment horizontal="center" vertical="center" wrapText="1"/>
    </xf>
    <xf numFmtId="0" fontId="13" fillId="4" borderId="19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left" vertical="center" wrapText="1"/>
    </xf>
    <xf numFmtId="1" fontId="1" fillId="0" borderId="53" xfId="0" applyNumberFormat="1" applyFont="1" applyBorder="1" applyAlignment="1">
      <alignment horizontal="right" vertical="center"/>
    </xf>
    <xf numFmtId="0" fontId="8" fillId="3" borderId="25" xfId="0" applyFont="1" applyFill="1" applyBorder="1" applyAlignment="1">
      <alignment horizontal="left" vertical="center" wrapText="1"/>
    </xf>
    <xf numFmtId="1" fontId="0" fillId="3" borderId="54" xfId="0" applyNumberFormat="1" applyFill="1" applyBorder="1" applyAlignment="1">
      <alignment horizontal="right" vertical="center"/>
    </xf>
    <xf numFmtId="0" fontId="1" fillId="0" borderId="1" xfId="0" applyFont="1" applyBorder="1"/>
    <xf numFmtId="0" fontId="7" fillId="3" borderId="46" xfId="0" applyFont="1" applyFill="1" applyBorder="1" applyAlignment="1">
      <alignment horizontal="center" vertical="center" textRotation="90" wrapText="1"/>
    </xf>
    <xf numFmtId="0" fontId="7" fillId="3" borderId="47" xfId="0" applyFont="1" applyFill="1" applyBorder="1" applyAlignment="1">
      <alignment horizontal="center" vertical="center" textRotation="90" wrapText="1"/>
    </xf>
    <xf numFmtId="0" fontId="7" fillId="3" borderId="48" xfId="0" applyFont="1" applyFill="1" applyBorder="1" applyAlignment="1">
      <alignment horizontal="center" vertical="center" textRotation="90" wrapText="1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center"/>
    </xf>
    <xf numFmtId="17" fontId="14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 textRotation="90" wrapText="1"/>
    </xf>
    <xf numFmtId="0" fontId="7" fillId="3" borderId="43" xfId="0" applyFont="1" applyFill="1" applyBorder="1" applyAlignment="1">
      <alignment horizontal="center" vertical="center" textRotation="90" wrapText="1"/>
    </xf>
    <xf numFmtId="0" fontId="7" fillId="3" borderId="50" xfId="0" applyFont="1" applyFill="1" applyBorder="1" applyAlignment="1">
      <alignment horizontal="center" vertical="center" textRotation="90" wrapText="1"/>
    </xf>
    <xf numFmtId="0" fontId="2" fillId="0" borderId="1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2" fillId="3" borderId="49" xfId="0" applyFont="1" applyFill="1" applyBorder="1" applyAlignment="1">
      <alignment horizontal="center" vertical="center" textRotation="90" wrapText="1"/>
    </xf>
    <xf numFmtId="0" fontId="2" fillId="3" borderId="43" xfId="0" applyFont="1" applyFill="1" applyBorder="1" applyAlignment="1">
      <alignment horizontal="center" vertical="center" textRotation="90" wrapText="1"/>
    </xf>
    <xf numFmtId="0" fontId="2" fillId="3" borderId="50" xfId="0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71452</xdr:rowOff>
    </xdr:from>
    <xdr:to>
      <xdr:col>2</xdr:col>
      <xdr:colOff>1619250</xdr:colOff>
      <xdr:row>1</xdr:row>
      <xdr:rowOff>214297</xdr:rowOff>
    </xdr:to>
    <xdr:pic>
      <xdr:nvPicPr>
        <xdr:cNvPr id="1047" name="Picture 2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85750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71452</xdr:rowOff>
    </xdr:from>
    <xdr:to>
      <xdr:col>2</xdr:col>
      <xdr:colOff>1905000</xdr:colOff>
      <xdr:row>1</xdr:row>
      <xdr:rowOff>214297</xdr:rowOff>
    </xdr:to>
    <xdr:pic>
      <xdr:nvPicPr>
        <xdr:cNvPr id="2071" name="Picture 2">
          <a:extLst>
            <a:ext uri="{FF2B5EF4-FFF2-40B4-BE49-F238E27FC236}">
              <a16:creationId xmlns:a16="http://schemas.microsoft.com/office/drawing/2014/main" id="{00000000-0008-0000-01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71500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61927</xdr:rowOff>
    </xdr:from>
    <xdr:to>
      <xdr:col>2</xdr:col>
      <xdr:colOff>1905000</xdr:colOff>
      <xdr:row>1</xdr:row>
      <xdr:rowOff>204772</xdr:rowOff>
    </xdr:to>
    <xdr:pic>
      <xdr:nvPicPr>
        <xdr:cNvPr id="3095" name="Picture 2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71500" y="33815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61927</xdr:rowOff>
    </xdr:from>
    <xdr:to>
      <xdr:col>2</xdr:col>
      <xdr:colOff>1905000</xdr:colOff>
      <xdr:row>1</xdr:row>
      <xdr:rowOff>204772</xdr:rowOff>
    </xdr:to>
    <xdr:pic>
      <xdr:nvPicPr>
        <xdr:cNvPr id="4119" name="Picture 2">
          <a:extLst>
            <a:ext uri="{FF2B5EF4-FFF2-40B4-BE49-F238E27FC236}">
              <a16:creationId xmlns:a16="http://schemas.microsoft.com/office/drawing/2014/main" id="{00000000-0008-0000-0300-00001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71500" y="338152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1</xdr:row>
      <xdr:rowOff>66690</xdr:rowOff>
    </xdr:from>
    <xdr:to>
      <xdr:col>2</xdr:col>
      <xdr:colOff>1885950</xdr:colOff>
      <xdr:row>1</xdr:row>
      <xdr:rowOff>209535</xdr:rowOff>
    </xdr:to>
    <xdr:pic>
      <xdr:nvPicPr>
        <xdr:cNvPr id="5143" name="Picture 2">
          <a:extLst>
            <a:ext uri="{FF2B5EF4-FFF2-40B4-BE49-F238E27FC236}">
              <a16:creationId xmlns:a16="http://schemas.microsoft.com/office/drawing/2014/main" id="{00000000-0008-0000-0400-00001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52450" y="342915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66690</xdr:rowOff>
    </xdr:from>
    <xdr:to>
      <xdr:col>2</xdr:col>
      <xdr:colOff>1895475</xdr:colOff>
      <xdr:row>1</xdr:row>
      <xdr:rowOff>209535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61975" y="342915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1</xdr:row>
      <xdr:rowOff>76215</xdr:rowOff>
    </xdr:from>
    <xdr:to>
      <xdr:col>2</xdr:col>
      <xdr:colOff>1885950</xdr:colOff>
      <xdr:row>1</xdr:row>
      <xdr:rowOff>219060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4329666-6A10-4378-A835-6B9630A70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52450" y="352440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1</xdr:row>
      <xdr:rowOff>85740</xdr:rowOff>
    </xdr:from>
    <xdr:to>
      <xdr:col>2</xdr:col>
      <xdr:colOff>1876425</xdr:colOff>
      <xdr:row>1</xdr:row>
      <xdr:rowOff>228585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D314076-F073-4318-9DEA-B6B9BB421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42925" y="361965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P_JAM\3098PPJAM_Progress_N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_PRINT"/>
      <sheetName val="C_AV_PR (I)"/>
      <sheetName val="DATI_AV"/>
      <sheetName val="DATI_MHRS"/>
      <sheetName val="C_MHRS"/>
      <sheetName val="C_PROD"/>
      <sheetName val="C_AV_PR"/>
      <sheetName val="DATI_PROD"/>
      <sheetName val="SIR"/>
      <sheetName val="Sheet7"/>
      <sheetName val="Sheet8"/>
      <sheetName val="Sheet9"/>
      <sheetName val="Sheet10"/>
      <sheetName val="Sheet11"/>
      <sheetName val="Sheet12"/>
      <sheetName val="Sheet13"/>
      <sheetName val="Sheet15"/>
      <sheetName val="Sheet16"/>
      <sheetName val="MACRO_AV"/>
      <sheetName val="MACRO_MH"/>
      <sheetName val="MACRO_PROD"/>
      <sheetName val="Module1"/>
    </sheetNames>
    <sheetDataSet>
      <sheetData sheetId="0"/>
      <sheetData sheetId="1"/>
      <sheetData sheetId="2">
        <row r="1">
          <cell r="H1" t="str">
            <v>TIME</v>
          </cell>
          <cell r="I1" t="str">
            <v>RES</v>
          </cell>
          <cell r="J1" t="str">
            <v>ES</v>
          </cell>
          <cell r="K1" t="str">
            <v>LS</v>
          </cell>
          <cell r="L1" t="str">
            <v>AC</v>
          </cell>
        </row>
        <row r="3">
          <cell r="H3">
            <v>36897</v>
          </cell>
          <cell r="I3" t="str">
            <v>TP</v>
          </cell>
          <cell r="J3">
            <v>0</v>
          </cell>
          <cell r="L3">
            <v>0</v>
          </cell>
        </row>
        <row r="4">
          <cell r="H4">
            <v>36928</v>
          </cell>
          <cell r="I4" t="str">
            <v>TP</v>
          </cell>
          <cell r="J4">
            <v>6.897383814829286E-2</v>
          </cell>
          <cell r="L4">
            <v>0</v>
          </cell>
        </row>
        <row r="5">
          <cell r="H5">
            <v>36956</v>
          </cell>
          <cell r="I5" t="str">
            <v>TP</v>
          </cell>
          <cell r="J5">
            <v>1.7737719567685664</v>
          </cell>
          <cell r="L5">
            <v>2.4504192356527605</v>
          </cell>
        </row>
        <row r="6">
          <cell r="H6">
            <v>36987</v>
          </cell>
          <cell r="I6" t="str">
            <v>TP</v>
          </cell>
          <cell r="J6" t="e">
            <v>#DIV/0!</v>
          </cell>
          <cell r="L6">
            <v>0</v>
          </cell>
        </row>
        <row r="7">
          <cell r="H7">
            <v>37017</v>
          </cell>
          <cell r="I7" t="str">
            <v>TP</v>
          </cell>
          <cell r="J7" t="e">
            <v>#DIV/0!</v>
          </cell>
          <cell r="L7">
            <v>0</v>
          </cell>
        </row>
        <row r="8">
          <cell r="H8">
            <v>37048</v>
          </cell>
          <cell r="I8" t="str">
            <v>TP</v>
          </cell>
          <cell r="J8" t="e">
            <v>#DIV/0!</v>
          </cell>
        </row>
        <row r="9">
          <cell r="H9">
            <v>37078</v>
          </cell>
          <cell r="I9" t="str">
            <v>TP</v>
          </cell>
          <cell r="J9" t="e">
            <v>#DIV/0!</v>
          </cell>
        </row>
        <row r="10">
          <cell r="H10">
            <v>37109</v>
          </cell>
          <cell r="I10" t="str">
            <v>TP</v>
          </cell>
          <cell r="J10" t="e">
            <v>#DIV/0!</v>
          </cell>
        </row>
        <row r="11">
          <cell r="H11">
            <v>37140</v>
          </cell>
          <cell r="I11" t="str">
            <v>TP</v>
          </cell>
          <cell r="J11" t="e">
            <v>#DIV/0!</v>
          </cell>
        </row>
        <row r="12">
          <cell r="H12">
            <v>37170</v>
          </cell>
          <cell r="I12" t="str">
            <v>TP</v>
          </cell>
          <cell r="J12" t="e">
            <v>#DIV/0!</v>
          </cell>
        </row>
        <row r="13">
          <cell r="H13">
            <v>37201</v>
          </cell>
          <cell r="I13" t="str">
            <v>TP</v>
          </cell>
          <cell r="J13" t="e">
            <v>#DIV/0!</v>
          </cell>
        </row>
        <row r="14">
          <cell r="H14">
            <v>37231</v>
          </cell>
          <cell r="I14" t="str">
            <v>TP</v>
          </cell>
          <cell r="J14" t="e">
            <v>#DIV/0!</v>
          </cell>
        </row>
        <row r="15">
          <cell r="H15">
            <v>37262</v>
          </cell>
          <cell r="I15" t="str">
            <v>TP</v>
          </cell>
          <cell r="J15" t="e">
            <v>#DIV/0!</v>
          </cell>
        </row>
        <row r="16">
          <cell r="H16">
            <v>37293</v>
          </cell>
          <cell r="I16" t="str">
            <v>TP</v>
          </cell>
          <cell r="J16" t="e">
            <v>#DIV/0!</v>
          </cell>
        </row>
        <row r="17">
          <cell r="H17">
            <v>37321</v>
          </cell>
          <cell r="I17" t="str">
            <v>TP</v>
          </cell>
          <cell r="J17" t="e">
            <v>#DIV/0!</v>
          </cell>
        </row>
        <row r="18">
          <cell r="H18">
            <v>37352</v>
          </cell>
          <cell r="I18" t="str">
            <v>TP</v>
          </cell>
          <cell r="J18" t="e">
            <v>#DIV/0!</v>
          </cell>
        </row>
        <row r="19">
          <cell r="H19">
            <v>37382</v>
          </cell>
          <cell r="I19" t="str">
            <v>TP</v>
          </cell>
          <cell r="J19" t="e">
            <v>#DIV/0!</v>
          </cell>
        </row>
        <row r="20">
          <cell r="H20">
            <v>37413</v>
          </cell>
          <cell r="I20" t="str">
            <v>TP</v>
          </cell>
          <cell r="J20" t="e">
            <v>#DIV/0!</v>
          </cell>
        </row>
        <row r="21">
          <cell r="H21">
            <v>37443</v>
          </cell>
          <cell r="I21" t="str">
            <v>TP</v>
          </cell>
          <cell r="J21" t="e">
            <v>#DIV/0!</v>
          </cell>
        </row>
        <row r="22">
          <cell r="H22">
            <v>37474</v>
          </cell>
          <cell r="I22" t="str">
            <v>TP</v>
          </cell>
          <cell r="J22" t="e">
            <v>#DIV/0!</v>
          </cell>
        </row>
        <row r="23">
          <cell r="H23">
            <v>37505</v>
          </cell>
          <cell r="I23" t="str">
            <v>TP</v>
          </cell>
          <cell r="J23" t="e">
            <v>#DIV/0!</v>
          </cell>
        </row>
        <row r="24">
          <cell r="H24">
            <v>37535</v>
          </cell>
          <cell r="I24" t="str">
            <v>TP</v>
          </cell>
          <cell r="J24" t="e">
            <v>#DIV/0!</v>
          </cell>
        </row>
        <row r="25">
          <cell r="H25">
            <v>37566</v>
          </cell>
          <cell r="I25" t="str">
            <v>TP</v>
          </cell>
          <cell r="J25" t="e">
            <v>#DIV/0!</v>
          </cell>
        </row>
        <row r="26">
          <cell r="H26">
            <v>37596</v>
          </cell>
          <cell r="I26" t="str">
            <v>TP</v>
          </cell>
          <cell r="J26" t="e">
            <v>#DIV/0!</v>
          </cell>
        </row>
        <row r="27">
          <cell r="H27">
            <v>37627</v>
          </cell>
          <cell r="I27" t="str">
            <v>TP</v>
          </cell>
          <cell r="J27" t="e">
            <v>#DIV/0!</v>
          </cell>
        </row>
        <row r="28">
          <cell r="H28">
            <v>37658</v>
          </cell>
          <cell r="I28" t="str">
            <v>TP</v>
          </cell>
          <cell r="J28" t="e">
            <v>#DIV/0!</v>
          </cell>
        </row>
        <row r="29">
          <cell r="H29">
            <v>37686</v>
          </cell>
          <cell r="I29" t="str">
            <v>TP</v>
          </cell>
          <cell r="J29" t="e">
            <v>#DIV/0!</v>
          </cell>
        </row>
        <row r="30">
          <cell r="H30">
            <v>37717</v>
          </cell>
          <cell r="I30" t="str">
            <v>TP</v>
          </cell>
          <cell r="J30" t="e">
            <v>#DIV/0!</v>
          </cell>
        </row>
        <row r="31">
          <cell r="H31">
            <v>37747</v>
          </cell>
          <cell r="I31" t="str">
            <v>TP</v>
          </cell>
          <cell r="J31">
            <v>0</v>
          </cell>
        </row>
        <row r="32">
          <cell r="H32">
            <v>36897</v>
          </cell>
          <cell r="I32" t="str">
            <v>TE</v>
          </cell>
          <cell r="J32">
            <v>0</v>
          </cell>
          <cell r="L32">
            <v>0</v>
          </cell>
        </row>
        <row r="33">
          <cell r="H33">
            <v>36928</v>
          </cell>
          <cell r="I33" t="str">
            <v>TE</v>
          </cell>
          <cell r="J33">
            <v>9.0604987299202258E-2</v>
          </cell>
          <cell r="L33">
            <v>0</v>
          </cell>
        </row>
        <row r="34">
          <cell r="H34">
            <v>36956</v>
          </cell>
          <cell r="I34" t="str">
            <v>TE</v>
          </cell>
          <cell r="J34">
            <v>1.9449113489331298</v>
          </cell>
          <cell r="L34">
            <v>2.8431870773854242</v>
          </cell>
        </row>
        <row r="35">
          <cell r="H35">
            <v>36987</v>
          </cell>
          <cell r="I35" t="str">
            <v>TE</v>
          </cell>
          <cell r="J35">
            <v>6.5312567755364963</v>
          </cell>
          <cell r="L35">
            <v>0</v>
          </cell>
        </row>
        <row r="36">
          <cell r="H36">
            <v>37017</v>
          </cell>
          <cell r="I36" t="str">
            <v>TE</v>
          </cell>
          <cell r="J36">
            <v>11.189128775385432</v>
          </cell>
          <cell r="L36">
            <v>0</v>
          </cell>
        </row>
        <row r="37">
          <cell r="H37">
            <v>37048</v>
          </cell>
          <cell r="I37" t="str">
            <v>TE</v>
          </cell>
          <cell r="J37">
            <v>16.489474196052871</v>
          </cell>
        </row>
        <row r="38">
          <cell r="H38">
            <v>37078</v>
          </cell>
          <cell r="I38" t="str">
            <v>TE</v>
          </cell>
          <cell r="J38">
            <v>23.240260331617662</v>
          </cell>
        </row>
        <row r="39">
          <cell r="H39">
            <v>37109</v>
          </cell>
          <cell r="I39" t="str">
            <v>TE</v>
          </cell>
          <cell r="J39">
            <v>31.816776425388017</v>
          </cell>
        </row>
        <row r="40">
          <cell r="H40">
            <v>37140</v>
          </cell>
          <cell r="I40" t="str">
            <v>TE</v>
          </cell>
          <cell r="J40">
            <v>42.755229895900229</v>
          </cell>
        </row>
        <row r="41">
          <cell r="H41">
            <v>37170</v>
          </cell>
          <cell r="I41" t="str">
            <v>TE</v>
          </cell>
          <cell r="J41">
            <v>53.850762480990255</v>
          </cell>
        </row>
        <row r="42">
          <cell r="H42">
            <v>37201</v>
          </cell>
          <cell r="I42" t="str">
            <v>TE</v>
          </cell>
          <cell r="J42">
            <v>59.972639176558573</v>
          </cell>
        </row>
        <row r="43">
          <cell r="H43">
            <v>37231</v>
          </cell>
          <cell r="I43" t="str">
            <v>TE</v>
          </cell>
          <cell r="J43">
            <v>67.869041230229797</v>
          </cell>
        </row>
        <row r="44">
          <cell r="H44">
            <v>37262</v>
          </cell>
          <cell r="I44" t="str">
            <v>TE</v>
          </cell>
          <cell r="J44">
            <v>72.241257439458536</v>
          </cell>
        </row>
        <row r="45">
          <cell r="H45">
            <v>37293</v>
          </cell>
          <cell r="I45" t="str">
            <v>TE</v>
          </cell>
          <cell r="J45">
            <v>76.502830479194643</v>
          </cell>
        </row>
        <row r="46">
          <cell r="H46">
            <v>37321</v>
          </cell>
          <cell r="I46" t="str">
            <v>TE</v>
          </cell>
          <cell r="J46">
            <v>80.49900179217741</v>
          </cell>
        </row>
        <row r="47">
          <cell r="H47">
            <v>37352</v>
          </cell>
          <cell r="I47" t="str">
            <v>TE</v>
          </cell>
          <cell r="J47">
            <v>86.354141565365822</v>
          </cell>
        </row>
        <row r="48">
          <cell r="H48">
            <v>37382</v>
          </cell>
          <cell r="I48" t="str">
            <v>TE</v>
          </cell>
          <cell r="J48">
            <v>89.53422923812613</v>
          </cell>
        </row>
        <row r="49">
          <cell r="H49">
            <v>37413</v>
          </cell>
          <cell r="I49" t="str">
            <v>TE</v>
          </cell>
          <cell r="J49">
            <v>92.314738862915078</v>
          </cell>
        </row>
        <row r="50">
          <cell r="H50">
            <v>37443</v>
          </cell>
          <cell r="I50" t="str">
            <v>TE</v>
          </cell>
          <cell r="J50">
            <v>94.264093767185116</v>
          </cell>
        </row>
        <row r="51">
          <cell r="H51">
            <v>37474</v>
          </cell>
          <cell r="I51" t="str">
            <v>TE</v>
          </cell>
          <cell r="J51">
            <v>95.673997070037785</v>
          </cell>
        </row>
        <row r="52">
          <cell r="H52">
            <v>37505</v>
          </cell>
          <cell r="I52" t="str">
            <v>TE</v>
          </cell>
          <cell r="J52">
            <v>97.211925737458444</v>
          </cell>
        </row>
        <row r="53">
          <cell r="H53">
            <v>37535</v>
          </cell>
          <cell r="I53" t="str">
            <v>TE</v>
          </cell>
          <cell r="J53">
            <v>98.812129489477073</v>
          </cell>
        </row>
        <row r="54">
          <cell r="H54">
            <v>37566</v>
          </cell>
          <cell r="I54" t="str">
            <v>TE</v>
          </cell>
          <cell r="J54">
            <v>99.359528500518181</v>
          </cell>
        </row>
        <row r="55">
          <cell r="H55">
            <v>37596</v>
          </cell>
          <cell r="I55" t="str">
            <v>TE</v>
          </cell>
          <cell r="J55">
            <v>99.660051501482599</v>
          </cell>
        </row>
        <row r="56">
          <cell r="H56">
            <v>37627</v>
          </cell>
          <cell r="I56" t="str">
            <v>TE</v>
          </cell>
          <cell r="J56">
            <v>99.895396088014294</v>
          </cell>
        </row>
        <row r="57">
          <cell r="H57">
            <v>37658</v>
          </cell>
          <cell r="I57" t="str">
            <v>TE</v>
          </cell>
          <cell r="J57">
            <v>99.999999999999986</v>
          </cell>
        </row>
        <row r="58">
          <cell r="H58">
            <v>37686</v>
          </cell>
          <cell r="I58" t="str">
            <v>TE</v>
          </cell>
          <cell r="J58">
            <v>99.999999999999986</v>
          </cell>
        </row>
        <row r="59">
          <cell r="H59">
            <v>37717</v>
          </cell>
          <cell r="I59" t="str">
            <v>TE</v>
          </cell>
          <cell r="J59">
            <v>99.999999999999986</v>
          </cell>
        </row>
        <row r="60">
          <cell r="H60">
            <v>37747</v>
          </cell>
          <cell r="I60" t="str">
            <v>TE</v>
          </cell>
          <cell r="J60">
            <v>0</v>
          </cell>
        </row>
        <row r="61">
          <cell r="H61">
            <v>36897</v>
          </cell>
          <cell r="I61" t="str">
            <v>V</v>
          </cell>
          <cell r="J61">
            <v>0</v>
          </cell>
        </row>
        <row r="62">
          <cell r="H62">
            <v>36928</v>
          </cell>
          <cell r="I62" t="str">
            <v>V</v>
          </cell>
          <cell r="J62">
            <v>1.152697745127492</v>
          </cell>
          <cell r="L62">
            <v>0</v>
          </cell>
        </row>
        <row r="63">
          <cell r="H63">
            <v>36956</v>
          </cell>
          <cell r="I63" t="str">
            <v>V</v>
          </cell>
          <cell r="J63">
            <v>11.434670187354982</v>
          </cell>
          <cell r="L63">
            <v>14.6</v>
          </cell>
        </row>
        <row r="64">
          <cell r="H64">
            <v>36987</v>
          </cell>
          <cell r="I64" t="str">
            <v>V</v>
          </cell>
          <cell r="J64">
            <v>29.98269671074333</v>
          </cell>
        </row>
        <row r="65">
          <cell r="H65">
            <v>37017</v>
          </cell>
          <cell r="I65" t="str">
            <v>V</v>
          </cell>
          <cell r="J65">
            <v>40.105021628675289</v>
          </cell>
        </row>
        <row r="66">
          <cell r="H66">
            <v>37048</v>
          </cell>
          <cell r="I66" t="str">
            <v>V</v>
          </cell>
          <cell r="J66">
            <v>49.580126882947141</v>
          </cell>
        </row>
        <row r="67">
          <cell r="H67">
            <v>37078</v>
          </cell>
          <cell r="I67" t="str">
            <v>V</v>
          </cell>
          <cell r="J67">
            <v>58.458653933386927</v>
          </cell>
        </row>
        <row r="68">
          <cell r="H68">
            <v>37109</v>
          </cell>
          <cell r="I68" t="str">
            <v>V</v>
          </cell>
          <cell r="J68">
            <v>66.108125126314533</v>
          </cell>
        </row>
        <row r="69">
          <cell r="H69">
            <v>37140</v>
          </cell>
          <cell r="I69" t="str">
            <v>V</v>
          </cell>
          <cell r="J69">
            <v>75.942671487494522</v>
          </cell>
        </row>
        <row r="70">
          <cell r="H70">
            <v>37170</v>
          </cell>
          <cell r="I70" t="str">
            <v>V</v>
          </cell>
          <cell r="J70">
            <v>86.950266126030101</v>
          </cell>
        </row>
        <row r="71">
          <cell r="H71">
            <v>37201</v>
          </cell>
          <cell r="I71" t="str">
            <v>V</v>
          </cell>
          <cell r="J71">
            <v>87.556470031894932</v>
          </cell>
        </row>
        <row r="72">
          <cell r="H72">
            <v>37231</v>
          </cell>
          <cell r="I72" t="str">
            <v>V</v>
          </cell>
          <cell r="J72">
            <v>89.402898770310173</v>
          </cell>
        </row>
        <row r="73">
          <cell r="H73">
            <v>37262</v>
          </cell>
          <cell r="I73" t="str">
            <v>V</v>
          </cell>
          <cell r="J73">
            <v>90.990244511613071</v>
          </cell>
        </row>
        <row r="74">
          <cell r="H74">
            <v>37293</v>
          </cell>
          <cell r="I74" t="str">
            <v>V</v>
          </cell>
          <cell r="J74">
            <v>92.577590252915954</v>
          </cell>
        </row>
        <row r="75">
          <cell r="H75">
            <v>37321</v>
          </cell>
          <cell r="I75" t="str">
            <v>V</v>
          </cell>
          <cell r="J75">
            <v>94.164935994218851</v>
          </cell>
        </row>
        <row r="76">
          <cell r="H76">
            <v>37352</v>
          </cell>
          <cell r="I76" t="str">
            <v>V</v>
          </cell>
          <cell r="J76">
            <v>95.024600307881201</v>
          </cell>
        </row>
        <row r="77">
          <cell r="H77">
            <v>37382</v>
          </cell>
          <cell r="I77" t="str">
            <v>V</v>
          </cell>
          <cell r="J77">
            <v>95.487428186217841</v>
          </cell>
        </row>
        <row r="78">
          <cell r="H78">
            <v>37413</v>
          </cell>
          <cell r="I78" t="str">
            <v>V</v>
          </cell>
          <cell r="J78">
            <v>95.950256064554466</v>
          </cell>
        </row>
        <row r="79">
          <cell r="H79">
            <v>37443</v>
          </cell>
          <cell r="I79" t="str">
            <v>V</v>
          </cell>
          <cell r="J79">
            <v>96.528790912475259</v>
          </cell>
        </row>
        <row r="80">
          <cell r="H80">
            <v>37474</v>
          </cell>
          <cell r="I80" t="str">
            <v>V</v>
          </cell>
          <cell r="J80">
            <v>96.991618790811899</v>
          </cell>
        </row>
        <row r="81">
          <cell r="H81">
            <v>37505</v>
          </cell>
          <cell r="I81" t="str">
            <v>V</v>
          </cell>
          <cell r="J81">
            <v>97.570153638732677</v>
          </cell>
        </row>
        <row r="82">
          <cell r="H82">
            <v>37535</v>
          </cell>
          <cell r="I82" t="str">
            <v>V</v>
          </cell>
          <cell r="J82">
            <v>98.032981517069317</v>
          </cell>
        </row>
        <row r="83">
          <cell r="H83">
            <v>37566</v>
          </cell>
          <cell r="I83" t="str">
            <v>V</v>
          </cell>
          <cell r="J83">
            <v>98.495809395405942</v>
          </cell>
        </row>
        <row r="84">
          <cell r="H84">
            <v>37596</v>
          </cell>
          <cell r="I84" t="str">
            <v>V</v>
          </cell>
          <cell r="J84">
            <v>99.074344243326735</v>
          </cell>
        </row>
        <row r="85">
          <cell r="H85">
            <v>37627</v>
          </cell>
          <cell r="I85" t="str">
            <v>V</v>
          </cell>
          <cell r="J85">
            <v>99.53717212166336</v>
          </cell>
        </row>
        <row r="86">
          <cell r="H86">
            <v>37658</v>
          </cell>
          <cell r="I86" t="str">
            <v>V</v>
          </cell>
          <cell r="J86">
            <v>100</v>
          </cell>
        </row>
        <row r="87">
          <cell r="H87">
            <v>37686</v>
          </cell>
          <cell r="I87" t="str">
            <v>V</v>
          </cell>
          <cell r="J87">
            <v>100</v>
          </cell>
        </row>
        <row r="88">
          <cell r="H88">
            <v>37717</v>
          </cell>
          <cell r="I88" t="str">
            <v>V</v>
          </cell>
          <cell r="J88">
            <v>100</v>
          </cell>
        </row>
        <row r="89">
          <cell r="H89">
            <v>37747</v>
          </cell>
          <cell r="I89" t="str">
            <v>V</v>
          </cell>
          <cell r="J89">
            <v>0</v>
          </cell>
        </row>
        <row r="90">
          <cell r="H90">
            <v>36897</v>
          </cell>
          <cell r="I90" t="str">
            <v>W</v>
          </cell>
          <cell r="J90">
            <v>0</v>
          </cell>
        </row>
        <row r="91">
          <cell r="H91">
            <v>36928</v>
          </cell>
          <cell r="I91" t="str">
            <v>W</v>
          </cell>
          <cell r="J91">
            <v>0</v>
          </cell>
        </row>
        <row r="92">
          <cell r="H92">
            <v>36956</v>
          </cell>
          <cell r="I92" t="str">
            <v>W</v>
          </cell>
          <cell r="J92">
            <v>0</v>
          </cell>
        </row>
        <row r="93">
          <cell r="H93">
            <v>36987</v>
          </cell>
          <cell r="I93" t="str">
            <v>W</v>
          </cell>
          <cell r="J93">
            <v>0.77141852321900939</v>
          </cell>
        </row>
        <row r="94">
          <cell r="H94">
            <v>37017</v>
          </cell>
          <cell r="I94" t="str">
            <v>W</v>
          </cell>
          <cell r="J94">
            <v>3.3734305928496173</v>
          </cell>
        </row>
        <row r="95">
          <cell r="H95">
            <v>37048</v>
          </cell>
          <cell r="I95" t="str">
            <v>W</v>
          </cell>
          <cell r="J95">
            <v>5.10073509814438</v>
          </cell>
        </row>
        <row r="96">
          <cell r="H96">
            <v>37078</v>
          </cell>
          <cell r="I96" t="str">
            <v>W</v>
          </cell>
          <cell r="J96">
            <v>11.074142497964736</v>
          </cell>
        </row>
        <row r="97">
          <cell r="H97">
            <v>37109</v>
          </cell>
          <cell r="I97" t="str">
            <v>W</v>
          </cell>
          <cell r="J97">
            <v>14.8951428836723</v>
          </cell>
        </row>
        <row r="98">
          <cell r="H98">
            <v>37140</v>
          </cell>
          <cell r="I98" t="str">
            <v>W</v>
          </cell>
          <cell r="J98">
            <v>25.884530509901239</v>
          </cell>
        </row>
        <row r="99">
          <cell r="H99">
            <v>37170</v>
          </cell>
          <cell r="I99" t="str">
            <v>W</v>
          </cell>
          <cell r="J99">
            <v>34.289788256180728</v>
          </cell>
        </row>
        <row r="100">
          <cell r="H100">
            <v>37201</v>
          </cell>
          <cell r="I100" t="str">
            <v>W</v>
          </cell>
          <cell r="J100">
            <v>41.022427535537609</v>
          </cell>
        </row>
        <row r="101">
          <cell r="H101">
            <v>37231</v>
          </cell>
          <cell r="I101" t="str">
            <v>W</v>
          </cell>
          <cell r="J101">
            <v>47.832400177992106</v>
          </cell>
        </row>
        <row r="102">
          <cell r="H102">
            <v>37262</v>
          </cell>
          <cell r="I102" t="str">
            <v>W</v>
          </cell>
          <cell r="J102">
            <v>51.551911495827326</v>
          </cell>
        </row>
        <row r="103">
          <cell r="H103">
            <v>37293</v>
          </cell>
          <cell r="I103" t="str">
            <v>W</v>
          </cell>
          <cell r="J103">
            <v>57.045150240687427</v>
          </cell>
        </row>
        <row r="104">
          <cell r="H104">
            <v>37321</v>
          </cell>
          <cell r="I104" t="str">
            <v>W</v>
          </cell>
          <cell r="J104">
            <v>63.031515791767802</v>
          </cell>
        </row>
        <row r="105">
          <cell r="H105">
            <v>37352</v>
          </cell>
          <cell r="I105" t="str">
            <v>W</v>
          </cell>
          <cell r="J105">
            <v>76.856121685495253</v>
          </cell>
        </row>
        <row r="106">
          <cell r="H106">
            <v>37382</v>
          </cell>
          <cell r="I106" t="str">
            <v>W</v>
          </cell>
          <cell r="J106">
            <v>80.345252314532985</v>
          </cell>
        </row>
        <row r="107">
          <cell r="H107">
            <v>37413</v>
          </cell>
          <cell r="I107" t="str">
            <v>W</v>
          </cell>
          <cell r="J107">
            <v>90.63876833172651</v>
          </cell>
        </row>
        <row r="108">
          <cell r="H108">
            <v>37443</v>
          </cell>
          <cell r="I108" t="str">
            <v>W</v>
          </cell>
          <cell r="J108">
            <v>94.169384001342479</v>
          </cell>
        </row>
        <row r="109">
          <cell r="H109">
            <v>37474</v>
          </cell>
          <cell r="I109" t="str">
            <v>W</v>
          </cell>
          <cell r="J109">
            <v>94.498425536255439</v>
          </cell>
        </row>
        <row r="110">
          <cell r="H110">
            <v>37505</v>
          </cell>
          <cell r="I110" t="str">
            <v>W</v>
          </cell>
          <cell r="J110">
            <v>94.909727454896625</v>
          </cell>
        </row>
        <row r="111">
          <cell r="H111">
            <v>37535</v>
          </cell>
          <cell r="I111" t="str">
            <v>W</v>
          </cell>
          <cell r="J111">
            <v>95.238768989809586</v>
          </cell>
        </row>
        <row r="112">
          <cell r="H112">
            <v>37566</v>
          </cell>
          <cell r="I112" t="str">
            <v>W</v>
          </cell>
          <cell r="J112">
            <v>95.788926436184042</v>
          </cell>
        </row>
        <row r="113">
          <cell r="H113">
            <v>37596</v>
          </cell>
          <cell r="I113" t="str">
            <v>W</v>
          </cell>
          <cell r="J113">
            <v>98.128411749415136</v>
          </cell>
        </row>
        <row r="114">
          <cell r="H114">
            <v>37627</v>
          </cell>
          <cell r="I114" t="str">
            <v>W</v>
          </cell>
          <cell r="J114">
            <v>100</v>
          </cell>
        </row>
        <row r="115">
          <cell r="H115">
            <v>37658</v>
          </cell>
          <cell r="I115" t="str">
            <v>W</v>
          </cell>
          <cell r="J115">
            <v>100</v>
          </cell>
        </row>
        <row r="116">
          <cell r="H116">
            <v>37686</v>
          </cell>
          <cell r="I116" t="str">
            <v>W</v>
          </cell>
          <cell r="J116">
            <v>100</v>
          </cell>
        </row>
        <row r="117">
          <cell r="H117">
            <v>37717</v>
          </cell>
          <cell r="I117" t="str">
            <v>W</v>
          </cell>
          <cell r="J117">
            <v>100</v>
          </cell>
        </row>
        <row r="118">
          <cell r="H118">
            <v>37747</v>
          </cell>
          <cell r="I118" t="str">
            <v>W</v>
          </cell>
          <cell r="J118">
            <v>0</v>
          </cell>
        </row>
        <row r="119">
          <cell r="H119">
            <v>36897</v>
          </cell>
          <cell r="I119" t="str">
            <v>S</v>
          </cell>
          <cell r="J119">
            <v>0</v>
          </cell>
        </row>
        <row r="120">
          <cell r="H120">
            <v>36928</v>
          </cell>
          <cell r="I120" t="str">
            <v>S</v>
          </cell>
          <cell r="J120">
            <v>0</v>
          </cell>
        </row>
        <row r="121">
          <cell r="H121">
            <v>36956</v>
          </cell>
          <cell r="I121" t="str">
            <v>S</v>
          </cell>
          <cell r="J121">
            <v>0.26723677177979693</v>
          </cell>
          <cell r="L121">
            <v>0.3</v>
          </cell>
        </row>
        <row r="122">
          <cell r="H122">
            <v>36987</v>
          </cell>
          <cell r="I122" t="str">
            <v>S</v>
          </cell>
          <cell r="J122">
            <v>6.725458756458222</v>
          </cell>
        </row>
        <row r="123">
          <cell r="H123">
            <v>37017</v>
          </cell>
          <cell r="I123" t="str">
            <v>S</v>
          </cell>
          <cell r="J123">
            <v>10.307322287546768</v>
          </cell>
        </row>
        <row r="124">
          <cell r="H124">
            <v>37048</v>
          </cell>
          <cell r="I124" t="str">
            <v>S</v>
          </cell>
          <cell r="J124">
            <v>21.151790486370928</v>
          </cell>
        </row>
        <row r="125">
          <cell r="H125">
            <v>37078</v>
          </cell>
          <cell r="I125" t="str">
            <v>S</v>
          </cell>
          <cell r="J125">
            <v>36.292745434566832</v>
          </cell>
        </row>
        <row r="126">
          <cell r="H126">
            <v>37109</v>
          </cell>
          <cell r="I126" t="str">
            <v>S</v>
          </cell>
          <cell r="J126">
            <v>42.262825442041851</v>
          </cell>
        </row>
        <row r="127">
          <cell r="H127">
            <v>37140</v>
          </cell>
          <cell r="I127" t="str">
            <v>S</v>
          </cell>
          <cell r="J127">
            <v>52.59013738558366</v>
          </cell>
        </row>
        <row r="128">
          <cell r="H128">
            <v>37170</v>
          </cell>
          <cell r="I128" t="str">
            <v>S</v>
          </cell>
          <cell r="J128">
            <v>57.781861112827201</v>
          </cell>
        </row>
        <row r="129">
          <cell r="H129">
            <v>37201</v>
          </cell>
          <cell r="I129" t="str">
            <v>S</v>
          </cell>
          <cell r="J129">
            <v>63.046945065225991</v>
          </cell>
        </row>
        <row r="130">
          <cell r="H130">
            <v>37231</v>
          </cell>
          <cell r="I130" t="str">
            <v>S</v>
          </cell>
          <cell r="J130">
            <v>67.583938701609043</v>
          </cell>
        </row>
        <row r="131">
          <cell r="H131">
            <v>37262</v>
          </cell>
          <cell r="I131" t="str">
            <v>S</v>
          </cell>
          <cell r="J131">
            <v>72.007226822901472</v>
          </cell>
        </row>
        <row r="132">
          <cell r="H132">
            <v>37293</v>
          </cell>
          <cell r="I132" t="str">
            <v>S</v>
          </cell>
          <cell r="J132">
            <v>75.348206018485726</v>
          </cell>
        </row>
        <row r="133">
          <cell r="H133">
            <v>37321</v>
          </cell>
          <cell r="I133" t="str">
            <v>S</v>
          </cell>
          <cell r="J133">
            <v>81.254658223156028</v>
          </cell>
        </row>
        <row r="134">
          <cell r="H134">
            <v>37352</v>
          </cell>
          <cell r="I134" t="str">
            <v>S</v>
          </cell>
          <cell r="J134">
            <v>88.637723478993919</v>
          </cell>
        </row>
        <row r="135">
          <cell r="H135">
            <v>37382</v>
          </cell>
          <cell r="I135" t="str">
            <v>S</v>
          </cell>
          <cell r="J135">
            <v>92.57314154253713</v>
          </cell>
        </row>
        <row r="136">
          <cell r="H136">
            <v>37413</v>
          </cell>
          <cell r="I136" t="str">
            <v>S</v>
          </cell>
          <cell r="J136">
            <v>95.820261969496272</v>
          </cell>
        </row>
        <row r="137">
          <cell r="H137">
            <v>37443</v>
          </cell>
          <cell r="I137" t="str">
            <v>S</v>
          </cell>
          <cell r="J137">
            <v>97.955057746380689</v>
          </cell>
        </row>
        <row r="138">
          <cell r="H138">
            <v>37474</v>
          </cell>
          <cell r="I138" t="str">
            <v>S</v>
          </cell>
          <cell r="J138">
            <v>98.636705164253797</v>
          </cell>
        </row>
        <row r="139">
          <cell r="H139">
            <v>37505</v>
          </cell>
          <cell r="I139" t="str">
            <v>S</v>
          </cell>
          <cell r="J139">
            <v>99.488764436595176</v>
          </cell>
        </row>
        <row r="140">
          <cell r="H140">
            <v>37535</v>
          </cell>
          <cell r="I140" t="str">
            <v>S</v>
          </cell>
          <cell r="J140">
            <v>100</v>
          </cell>
        </row>
        <row r="141">
          <cell r="H141">
            <v>37566</v>
          </cell>
          <cell r="I141" t="str">
            <v>S</v>
          </cell>
          <cell r="J141">
            <v>100</v>
          </cell>
        </row>
        <row r="142">
          <cell r="H142">
            <v>37596</v>
          </cell>
          <cell r="I142" t="str">
            <v>S</v>
          </cell>
          <cell r="J142">
            <v>100</v>
          </cell>
        </row>
        <row r="143">
          <cell r="H143">
            <v>37627</v>
          </cell>
          <cell r="I143" t="str">
            <v>S</v>
          </cell>
          <cell r="J143">
            <v>100</v>
          </cell>
        </row>
        <row r="144">
          <cell r="H144">
            <v>37658</v>
          </cell>
          <cell r="I144" t="str">
            <v>S</v>
          </cell>
          <cell r="J144">
            <v>100</v>
          </cell>
        </row>
        <row r="145">
          <cell r="H145">
            <v>37686</v>
          </cell>
          <cell r="I145" t="str">
            <v>S</v>
          </cell>
          <cell r="J145">
            <v>100</v>
          </cell>
        </row>
        <row r="146">
          <cell r="H146">
            <v>37717</v>
          </cell>
          <cell r="I146" t="str">
            <v>S</v>
          </cell>
          <cell r="J146">
            <v>100</v>
          </cell>
        </row>
        <row r="147">
          <cell r="H147">
            <v>37747</v>
          </cell>
          <cell r="I147" t="str">
            <v>S</v>
          </cell>
          <cell r="J147">
            <v>0</v>
          </cell>
        </row>
        <row r="148">
          <cell r="H148">
            <v>36897</v>
          </cell>
          <cell r="I148" t="str">
            <v xml:space="preserve">C        </v>
          </cell>
          <cell r="J148">
            <v>0</v>
          </cell>
        </row>
        <row r="149">
          <cell r="H149">
            <v>36928</v>
          </cell>
          <cell r="I149" t="str">
            <v xml:space="preserve">C        </v>
          </cell>
          <cell r="J149">
            <v>0</v>
          </cell>
        </row>
        <row r="150">
          <cell r="H150">
            <v>36956</v>
          </cell>
          <cell r="I150" t="str">
            <v xml:space="preserve">C        </v>
          </cell>
          <cell r="J150">
            <v>5.331572643594173</v>
          </cell>
          <cell r="L150">
            <v>6.8</v>
          </cell>
        </row>
        <row r="151">
          <cell r="H151">
            <v>36987</v>
          </cell>
          <cell r="I151" t="str">
            <v xml:space="preserve">C        </v>
          </cell>
          <cell r="J151">
            <v>15.84196765929245</v>
          </cell>
        </row>
        <row r="152">
          <cell r="H152">
            <v>37017</v>
          </cell>
          <cell r="I152" t="str">
            <v xml:space="preserve">C        </v>
          </cell>
          <cell r="J152">
            <v>21.347665500304078</v>
          </cell>
        </row>
        <row r="153">
          <cell r="H153">
            <v>37048</v>
          </cell>
          <cell r="I153" t="str">
            <v xml:space="preserve">C        </v>
          </cell>
          <cell r="J153">
            <v>25.412762914759245</v>
          </cell>
        </row>
        <row r="154">
          <cell r="H154">
            <v>37078</v>
          </cell>
          <cell r="I154" t="str">
            <v xml:space="preserve">C        </v>
          </cell>
          <cell r="J154">
            <v>34.779853799822206</v>
          </cell>
        </row>
        <row r="155">
          <cell r="H155">
            <v>37109</v>
          </cell>
          <cell r="I155" t="str">
            <v xml:space="preserve">C        </v>
          </cell>
          <cell r="J155">
            <v>43.286351353776091</v>
          </cell>
        </row>
        <row r="156">
          <cell r="H156">
            <v>37140</v>
          </cell>
          <cell r="I156" t="str">
            <v xml:space="preserve">C        </v>
          </cell>
          <cell r="J156">
            <v>56.265102466519814</v>
          </cell>
        </row>
        <row r="157">
          <cell r="H157">
            <v>37170</v>
          </cell>
          <cell r="I157" t="str">
            <v xml:space="preserve">C        </v>
          </cell>
          <cell r="J157">
            <v>66.245439297755098</v>
          </cell>
        </row>
        <row r="158">
          <cell r="H158">
            <v>37201</v>
          </cell>
          <cell r="I158" t="str">
            <v xml:space="preserve">C        </v>
          </cell>
          <cell r="J158">
            <v>75.652830464782511</v>
          </cell>
        </row>
        <row r="159">
          <cell r="H159">
            <v>37231</v>
          </cell>
          <cell r="I159" t="str">
            <v xml:space="preserve">C        </v>
          </cell>
          <cell r="J159">
            <v>86.372748267441864</v>
          </cell>
        </row>
        <row r="160">
          <cell r="H160">
            <v>37262</v>
          </cell>
          <cell r="I160" t="str">
            <v xml:space="preserve">C        </v>
          </cell>
          <cell r="J160">
            <v>91.605688933966263</v>
          </cell>
        </row>
        <row r="161">
          <cell r="H161">
            <v>37293</v>
          </cell>
          <cell r="I161" t="str">
            <v xml:space="preserve">C        </v>
          </cell>
          <cell r="J161">
            <v>93.73558302390164</v>
          </cell>
        </row>
        <row r="162">
          <cell r="H162">
            <v>37321</v>
          </cell>
          <cell r="I162" t="str">
            <v xml:space="preserve">C        </v>
          </cell>
          <cell r="J162">
            <v>94.683156927050433</v>
          </cell>
        </row>
        <row r="163">
          <cell r="H163">
            <v>37352</v>
          </cell>
          <cell r="I163" t="str">
            <v xml:space="preserve">C        </v>
          </cell>
          <cell r="J163">
            <v>95.413095807491203</v>
          </cell>
        </row>
        <row r="164">
          <cell r="H164">
            <v>37382</v>
          </cell>
          <cell r="I164" t="str">
            <v xml:space="preserve">C        </v>
          </cell>
          <cell r="J164">
            <v>95.80513890086803</v>
          </cell>
        </row>
        <row r="165">
          <cell r="H165">
            <v>37413</v>
          </cell>
          <cell r="I165" t="str">
            <v xml:space="preserve">C        </v>
          </cell>
          <cell r="J165">
            <v>96.197181994244843</v>
          </cell>
        </row>
        <row r="166">
          <cell r="H166">
            <v>37443</v>
          </cell>
          <cell r="I166" t="str">
            <v xml:space="preserve">C        </v>
          </cell>
          <cell r="J166">
            <v>96.687235860965856</v>
          </cell>
        </row>
        <row r="167">
          <cell r="H167">
            <v>37474</v>
          </cell>
          <cell r="I167" t="str">
            <v xml:space="preserve">C        </v>
          </cell>
          <cell r="J167">
            <v>97.079278954342684</v>
          </cell>
        </row>
        <row r="168">
          <cell r="H168">
            <v>37505</v>
          </cell>
          <cell r="I168" t="str">
            <v xml:space="preserve">C        </v>
          </cell>
          <cell r="J168">
            <v>97.569332821063711</v>
          </cell>
        </row>
        <row r="169">
          <cell r="H169">
            <v>37535</v>
          </cell>
          <cell r="I169" t="str">
            <v xml:space="preserve">C        </v>
          </cell>
          <cell r="J169">
            <v>97.961375914440538</v>
          </cell>
        </row>
        <row r="170">
          <cell r="H170">
            <v>37566</v>
          </cell>
          <cell r="I170" t="str">
            <v xml:space="preserve">C        </v>
          </cell>
          <cell r="J170">
            <v>98.255408234473151</v>
          </cell>
        </row>
        <row r="171">
          <cell r="H171">
            <v>37596</v>
          </cell>
          <cell r="I171" t="str">
            <v xml:space="preserve">C        </v>
          </cell>
          <cell r="J171">
            <v>98.926405067368094</v>
          </cell>
        </row>
        <row r="172">
          <cell r="H172">
            <v>37627</v>
          </cell>
          <cell r="I172" t="str">
            <v xml:space="preserve">C        </v>
          </cell>
          <cell r="J172">
            <v>99.463202533684054</v>
          </cell>
        </row>
        <row r="173">
          <cell r="H173">
            <v>37658</v>
          </cell>
          <cell r="I173" t="str">
            <v xml:space="preserve">C        </v>
          </cell>
          <cell r="J173">
            <v>100</v>
          </cell>
        </row>
        <row r="174">
          <cell r="H174">
            <v>37686</v>
          </cell>
          <cell r="I174" t="str">
            <v xml:space="preserve">C        </v>
          </cell>
          <cell r="J174">
            <v>100</v>
          </cell>
        </row>
        <row r="175">
          <cell r="H175">
            <v>37717</v>
          </cell>
          <cell r="I175" t="str">
            <v xml:space="preserve">C        </v>
          </cell>
          <cell r="J175">
            <v>100</v>
          </cell>
        </row>
        <row r="176">
          <cell r="H176">
            <v>37747</v>
          </cell>
          <cell r="I176" t="str">
            <v xml:space="preserve">C        </v>
          </cell>
          <cell r="J176">
            <v>0</v>
          </cell>
        </row>
        <row r="177">
          <cell r="H177">
            <v>36897</v>
          </cell>
          <cell r="I177" t="str">
            <v>G</v>
          </cell>
          <cell r="J177">
            <v>0</v>
          </cell>
        </row>
        <row r="178">
          <cell r="H178">
            <v>36928</v>
          </cell>
          <cell r="I178" t="str">
            <v>G</v>
          </cell>
          <cell r="J178">
            <v>0</v>
          </cell>
        </row>
        <row r="179">
          <cell r="H179">
            <v>36956</v>
          </cell>
          <cell r="I179" t="str">
            <v>G</v>
          </cell>
          <cell r="J179">
            <v>3.3463202680662705</v>
          </cell>
          <cell r="L179">
            <v>3.8</v>
          </cell>
        </row>
        <row r="180">
          <cell r="H180">
            <v>36987</v>
          </cell>
          <cell r="I180" t="str">
            <v>G</v>
          </cell>
          <cell r="J180">
            <v>10.78164583112755</v>
          </cell>
        </row>
        <row r="181">
          <cell r="H181">
            <v>37017</v>
          </cell>
          <cell r="I181" t="str">
            <v>G</v>
          </cell>
          <cell r="J181">
            <v>13.419637341394965</v>
          </cell>
        </row>
        <row r="182">
          <cell r="H182">
            <v>37048</v>
          </cell>
          <cell r="I182" t="str">
            <v>G</v>
          </cell>
          <cell r="J182">
            <v>22.141620672553771</v>
          </cell>
        </row>
        <row r="183">
          <cell r="H183">
            <v>37078</v>
          </cell>
          <cell r="I183" t="str">
            <v>G</v>
          </cell>
          <cell r="J183">
            <v>29.36458399814364</v>
          </cell>
        </row>
        <row r="184">
          <cell r="H184">
            <v>37109</v>
          </cell>
          <cell r="I184" t="str">
            <v>G</v>
          </cell>
          <cell r="J184">
            <v>35.996822406588088</v>
          </cell>
        </row>
        <row r="185">
          <cell r="H185">
            <v>37140</v>
          </cell>
          <cell r="I185" t="str">
            <v>G</v>
          </cell>
          <cell r="J185">
            <v>44.870691091597308</v>
          </cell>
        </row>
        <row r="186">
          <cell r="H186">
            <v>37170</v>
          </cell>
          <cell r="I186" t="str">
            <v>G</v>
          </cell>
          <cell r="J186">
            <v>51.559832813144411</v>
          </cell>
        </row>
        <row r="187">
          <cell r="H187">
            <v>37201</v>
          </cell>
          <cell r="I187" t="str">
            <v>G</v>
          </cell>
          <cell r="J187">
            <v>61.311596866090227</v>
          </cell>
        </row>
        <row r="188">
          <cell r="H188">
            <v>37231</v>
          </cell>
          <cell r="I188" t="str">
            <v>G</v>
          </cell>
          <cell r="J188">
            <v>73.618971011562977</v>
          </cell>
        </row>
        <row r="189">
          <cell r="H189">
            <v>37262</v>
          </cell>
          <cell r="I189" t="str">
            <v>G</v>
          </cell>
          <cell r="J189">
            <v>82.087517963149807</v>
          </cell>
        </row>
        <row r="190">
          <cell r="H190">
            <v>37293</v>
          </cell>
          <cell r="I190" t="str">
            <v>G</v>
          </cell>
          <cell r="J190">
            <v>86.875872472535463</v>
          </cell>
        </row>
        <row r="191">
          <cell r="H191">
            <v>37321</v>
          </cell>
          <cell r="I191" t="str">
            <v>G</v>
          </cell>
          <cell r="J191">
            <v>91.103441333799225</v>
          </cell>
        </row>
        <row r="192">
          <cell r="H192">
            <v>37352</v>
          </cell>
          <cell r="I192" t="str">
            <v>G</v>
          </cell>
          <cell r="J192">
            <v>95.212930238103922</v>
          </cell>
        </row>
        <row r="193">
          <cell r="H193">
            <v>37382</v>
          </cell>
          <cell r="I193" t="str">
            <v>G</v>
          </cell>
          <cell r="J193">
            <v>97.574701928266535</v>
          </cell>
        </row>
        <row r="194">
          <cell r="H194">
            <v>37413</v>
          </cell>
          <cell r="I194" t="str">
            <v>G</v>
          </cell>
          <cell r="J194">
            <v>98.402924292232967</v>
          </cell>
        </row>
        <row r="195">
          <cell r="H195">
            <v>37443</v>
          </cell>
          <cell r="I195" t="str">
            <v>G</v>
          </cell>
          <cell r="J195">
            <v>98.783180413129884</v>
          </cell>
        </row>
        <row r="196">
          <cell r="H196">
            <v>37474</v>
          </cell>
          <cell r="I196" t="str">
            <v>G</v>
          </cell>
          <cell r="J196">
            <v>99.087385309847406</v>
          </cell>
        </row>
        <row r="197">
          <cell r="H197">
            <v>37505</v>
          </cell>
          <cell r="I197" t="str">
            <v>G</v>
          </cell>
          <cell r="J197">
            <v>99.467641430744308</v>
          </cell>
        </row>
        <row r="198">
          <cell r="H198">
            <v>37535</v>
          </cell>
          <cell r="I198" t="str">
            <v>G</v>
          </cell>
          <cell r="J198">
            <v>99.771846327461844</v>
          </cell>
        </row>
        <row r="199">
          <cell r="H199">
            <v>37566</v>
          </cell>
          <cell r="I199" t="str">
            <v>G</v>
          </cell>
          <cell r="J199">
            <v>100</v>
          </cell>
        </row>
        <row r="200">
          <cell r="H200">
            <v>37596</v>
          </cell>
          <cell r="I200" t="str">
            <v>G</v>
          </cell>
          <cell r="J200">
            <v>100</v>
          </cell>
        </row>
        <row r="201">
          <cell r="H201">
            <v>37627</v>
          </cell>
          <cell r="I201" t="str">
            <v>G</v>
          </cell>
          <cell r="J201">
            <v>100</v>
          </cell>
        </row>
        <row r="202">
          <cell r="H202">
            <v>37658</v>
          </cell>
          <cell r="I202" t="str">
            <v>G</v>
          </cell>
          <cell r="J202">
            <v>100</v>
          </cell>
        </row>
        <row r="203">
          <cell r="H203">
            <v>37686</v>
          </cell>
          <cell r="I203" t="str">
            <v>G</v>
          </cell>
          <cell r="J203">
            <v>100</v>
          </cell>
        </row>
        <row r="204">
          <cell r="H204">
            <v>37717</v>
          </cell>
          <cell r="I204" t="str">
            <v>G</v>
          </cell>
          <cell r="J204">
            <v>100</v>
          </cell>
        </row>
        <row r="205">
          <cell r="H205">
            <v>37747</v>
          </cell>
          <cell r="I205" t="str">
            <v>G</v>
          </cell>
          <cell r="J205">
            <v>0</v>
          </cell>
        </row>
        <row r="206">
          <cell r="H206">
            <v>36897</v>
          </cell>
          <cell r="I206" t="str">
            <v>X</v>
          </cell>
          <cell r="J206">
            <v>0</v>
          </cell>
        </row>
        <row r="207">
          <cell r="H207">
            <v>36928</v>
          </cell>
          <cell r="I207" t="str">
            <v>X</v>
          </cell>
          <cell r="J207">
            <v>0</v>
          </cell>
        </row>
        <row r="208">
          <cell r="H208">
            <v>36956</v>
          </cell>
          <cell r="I208" t="str">
            <v>X</v>
          </cell>
          <cell r="J208">
            <v>0</v>
          </cell>
        </row>
        <row r="209">
          <cell r="H209">
            <v>36987</v>
          </cell>
          <cell r="I209" t="str">
            <v>X</v>
          </cell>
          <cell r="J209">
            <v>1.9753602798585499</v>
          </cell>
        </row>
        <row r="210">
          <cell r="H210">
            <v>37017</v>
          </cell>
          <cell r="I210" t="str">
            <v>X</v>
          </cell>
          <cell r="J210">
            <v>6.6991140347541727</v>
          </cell>
        </row>
        <row r="211">
          <cell r="H211">
            <v>37048</v>
          </cell>
          <cell r="I211" t="str">
            <v>X</v>
          </cell>
          <cell r="J211">
            <v>11.411751285555479</v>
          </cell>
        </row>
        <row r="212">
          <cell r="H212">
            <v>37078</v>
          </cell>
          <cell r="I212" t="str">
            <v>X</v>
          </cell>
          <cell r="J212">
            <v>17.50315628752373</v>
          </cell>
        </row>
        <row r="213">
          <cell r="H213">
            <v>37109</v>
          </cell>
          <cell r="I213" t="str">
            <v>X</v>
          </cell>
          <cell r="J213">
            <v>30.888694925051084</v>
          </cell>
        </row>
        <row r="214">
          <cell r="H214">
            <v>37140</v>
          </cell>
          <cell r="I214" t="str">
            <v>X</v>
          </cell>
          <cell r="J214">
            <v>43.24339588814216</v>
          </cell>
        </row>
        <row r="215">
          <cell r="H215">
            <v>37170</v>
          </cell>
          <cell r="I215" t="str">
            <v>X</v>
          </cell>
          <cell r="J215">
            <v>59.22705394869331</v>
          </cell>
        </row>
        <row r="216">
          <cell r="H216">
            <v>37201</v>
          </cell>
          <cell r="I216" t="str">
            <v>X</v>
          </cell>
          <cell r="J216">
            <v>68.688846883521165</v>
          </cell>
        </row>
        <row r="217">
          <cell r="H217">
            <v>37231</v>
          </cell>
          <cell r="I217" t="str">
            <v>X</v>
          </cell>
          <cell r="J217">
            <v>77.961836318237701</v>
          </cell>
        </row>
        <row r="218">
          <cell r="H218">
            <v>37262</v>
          </cell>
          <cell r="I218" t="str">
            <v>X</v>
          </cell>
          <cell r="J218">
            <v>79.800050258151657</v>
          </cell>
        </row>
        <row r="219">
          <cell r="H219">
            <v>37293</v>
          </cell>
          <cell r="I219" t="str">
            <v>X</v>
          </cell>
          <cell r="J219">
            <v>82.233301609712015</v>
          </cell>
        </row>
        <row r="220">
          <cell r="H220">
            <v>37321</v>
          </cell>
          <cell r="I220" t="str">
            <v>X</v>
          </cell>
          <cell r="J220">
            <v>84.70973162036799</v>
          </cell>
        </row>
        <row r="221">
          <cell r="H221">
            <v>37352</v>
          </cell>
          <cell r="I221" t="str">
            <v>X</v>
          </cell>
          <cell r="J221">
            <v>88.391138473882563</v>
          </cell>
        </row>
        <row r="222">
          <cell r="H222">
            <v>37382</v>
          </cell>
          <cell r="I222" t="str">
            <v>X</v>
          </cell>
          <cell r="J222">
            <v>89.831872154724564</v>
          </cell>
        </row>
        <row r="223">
          <cell r="H223">
            <v>37413</v>
          </cell>
          <cell r="I223" t="str">
            <v>X</v>
          </cell>
          <cell r="J223">
            <v>91.139520927395154</v>
          </cell>
        </row>
        <row r="224">
          <cell r="H224">
            <v>37443</v>
          </cell>
          <cell r="I224" t="str">
            <v>X</v>
          </cell>
          <cell r="J224">
            <v>92.707539439147681</v>
          </cell>
        </row>
        <row r="225">
          <cell r="H225">
            <v>37474</v>
          </cell>
          <cell r="I225" t="str">
            <v>X</v>
          </cell>
          <cell r="J225">
            <v>93.961954248549702</v>
          </cell>
        </row>
        <row r="226">
          <cell r="H226">
            <v>37505</v>
          </cell>
          <cell r="I226" t="str">
            <v>X</v>
          </cell>
          <cell r="J226">
            <v>95.529972760302229</v>
          </cell>
        </row>
        <row r="227">
          <cell r="H227">
            <v>37535</v>
          </cell>
          <cell r="I227" t="str">
            <v>X</v>
          </cell>
          <cell r="J227">
            <v>99.392851769863952</v>
          </cell>
        </row>
        <row r="228">
          <cell r="H228">
            <v>37566</v>
          </cell>
          <cell r="I228" t="str">
            <v>X</v>
          </cell>
          <cell r="J228">
            <v>100</v>
          </cell>
        </row>
        <row r="229">
          <cell r="H229">
            <v>37596</v>
          </cell>
          <cell r="I229" t="str">
            <v>X</v>
          </cell>
          <cell r="J229">
            <v>100</v>
          </cell>
        </row>
        <row r="230">
          <cell r="H230">
            <v>37627</v>
          </cell>
          <cell r="I230" t="str">
            <v>X</v>
          </cell>
          <cell r="J230">
            <v>100</v>
          </cell>
        </row>
        <row r="231">
          <cell r="H231">
            <v>37658</v>
          </cell>
          <cell r="I231" t="str">
            <v>X</v>
          </cell>
          <cell r="J231">
            <v>100</v>
          </cell>
        </row>
        <row r="232">
          <cell r="H232">
            <v>37686</v>
          </cell>
          <cell r="I232" t="str">
            <v>X</v>
          </cell>
          <cell r="J232">
            <v>100</v>
          </cell>
        </row>
        <row r="233">
          <cell r="H233">
            <v>37717</v>
          </cell>
          <cell r="I233" t="str">
            <v>X</v>
          </cell>
          <cell r="J233">
            <v>100</v>
          </cell>
        </row>
        <row r="234">
          <cell r="H234">
            <v>37747</v>
          </cell>
          <cell r="I234" t="str">
            <v>X</v>
          </cell>
          <cell r="J234">
            <v>0</v>
          </cell>
        </row>
        <row r="235">
          <cell r="H235">
            <v>36897</v>
          </cell>
          <cell r="I235" t="str">
            <v>N</v>
          </cell>
          <cell r="J235">
            <v>0</v>
          </cell>
        </row>
        <row r="236">
          <cell r="H236">
            <v>36928</v>
          </cell>
          <cell r="I236" t="str">
            <v>N</v>
          </cell>
          <cell r="J236">
            <v>0</v>
          </cell>
        </row>
        <row r="237">
          <cell r="H237">
            <v>36956</v>
          </cell>
          <cell r="I237" t="str">
            <v>N</v>
          </cell>
          <cell r="J237">
            <v>1.1745017661921402</v>
          </cell>
          <cell r="L237">
            <v>1.9</v>
          </cell>
        </row>
        <row r="238">
          <cell r="H238">
            <v>36987</v>
          </cell>
          <cell r="I238" t="str">
            <v>N</v>
          </cell>
          <cell r="J238">
            <v>4.6245274193316162</v>
          </cell>
        </row>
        <row r="239">
          <cell r="H239">
            <v>37017</v>
          </cell>
          <cell r="I239" t="str">
            <v>N</v>
          </cell>
          <cell r="J239">
            <v>7.9101762607786412</v>
          </cell>
        </row>
        <row r="240">
          <cell r="H240">
            <v>37048</v>
          </cell>
          <cell r="I240" t="str">
            <v>N</v>
          </cell>
          <cell r="J240">
            <v>13.871567349640049</v>
          </cell>
        </row>
        <row r="241">
          <cell r="H241">
            <v>37078</v>
          </cell>
          <cell r="I241" t="str">
            <v>N</v>
          </cell>
          <cell r="J241">
            <v>19.849166744626682</v>
          </cell>
        </row>
        <row r="242">
          <cell r="H242">
            <v>37109</v>
          </cell>
          <cell r="I242" t="str">
            <v>N</v>
          </cell>
          <cell r="J242">
            <v>23.718780253600251</v>
          </cell>
        </row>
        <row r="243">
          <cell r="H243">
            <v>37140</v>
          </cell>
          <cell r="I243" t="str">
            <v>N</v>
          </cell>
          <cell r="J243">
            <v>29.331546435215532</v>
          </cell>
        </row>
        <row r="244">
          <cell r="H244">
            <v>37170</v>
          </cell>
          <cell r="I244" t="str">
            <v>N</v>
          </cell>
          <cell r="J244">
            <v>33.094084700934715</v>
          </cell>
        </row>
        <row r="245">
          <cell r="H245">
            <v>37201</v>
          </cell>
          <cell r="I245" t="str">
            <v>N</v>
          </cell>
          <cell r="J245">
            <v>35.748033928225809</v>
          </cell>
        </row>
        <row r="246">
          <cell r="H246">
            <v>37231</v>
          </cell>
          <cell r="I246" t="str">
            <v>N</v>
          </cell>
          <cell r="J246">
            <v>43.714795639745908</v>
          </cell>
        </row>
        <row r="247">
          <cell r="H247">
            <v>37262</v>
          </cell>
          <cell r="I247" t="str">
            <v>N</v>
          </cell>
          <cell r="J247">
            <v>50.041873309987494</v>
          </cell>
        </row>
        <row r="248">
          <cell r="H248">
            <v>37293</v>
          </cell>
          <cell r="I248" t="str">
            <v>N</v>
          </cell>
          <cell r="J248">
            <v>57.294723779719902</v>
          </cell>
        </row>
        <row r="249">
          <cell r="H249">
            <v>37321</v>
          </cell>
          <cell r="I249" t="str">
            <v>N</v>
          </cell>
          <cell r="J249">
            <v>65.112390397534625</v>
          </cell>
        </row>
        <row r="250">
          <cell r="H250">
            <v>37352</v>
          </cell>
          <cell r="I250" t="str">
            <v>N</v>
          </cell>
          <cell r="J250">
            <v>76.72649699913535</v>
          </cell>
        </row>
        <row r="251">
          <cell r="H251">
            <v>37382</v>
          </cell>
          <cell r="I251" t="str">
            <v>N</v>
          </cell>
          <cell r="J251">
            <v>82.758564239576799</v>
          </cell>
        </row>
        <row r="252">
          <cell r="H252">
            <v>37413</v>
          </cell>
          <cell r="I252" t="str">
            <v>N</v>
          </cell>
          <cell r="J252">
            <v>87.590613300210833</v>
          </cell>
        </row>
        <row r="253">
          <cell r="H253">
            <v>37443</v>
          </cell>
          <cell r="I253" t="str">
            <v>N</v>
          </cell>
          <cell r="J253">
            <v>91.657194566412983</v>
          </cell>
        </row>
        <row r="254">
          <cell r="H254">
            <v>37474</v>
          </cell>
          <cell r="I254" t="str">
            <v>N</v>
          </cell>
          <cell r="J254">
            <v>95.46447580515418</v>
          </cell>
        </row>
        <row r="255">
          <cell r="H255">
            <v>37505</v>
          </cell>
          <cell r="I255" t="str">
            <v>N</v>
          </cell>
          <cell r="J255">
            <v>98.908250180592489</v>
          </cell>
        </row>
        <row r="256">
          <cell r="H256">
            <v>37535</v>
          </cell>
          <cell r="I256" t="str">
            <v>N</v>
          </cell>
          <cell r="J256">
            <v>99.751418813483653</v>
          </cell>
        </row>
        <row r="257">
          <cell r="H257">
            <v>37566</v>
          </cell>
          <cell r="I257" t="str">
            <v>N</v>
          </cell>
          <cell r="J257">
            <v>100</v>
          </cell>
        </row>
        <row r="258">
          <cell r="H258">
            <v>37596</v>
          </cell>
          <cell r="I258" t="str">
            <v>N</v>
          </cell>
          <cell r="J258">
            <v>100</v>
          </cell>
        </row>
        <row r="259">
          <cell r="H259">
            <v>37627</v>
          </cell>
          <cell r="I259" t="str">
            <v>N</v>
          </cell>
          <cell r="J259">
            <v>100</v>
          </cell>
        </row>
        <row r="260">
          <cell r="H260">
            <v>37658</v>
          </cell>
          <cell r="I260" t="str">
            <v>N</v>
          </cell>
          <cell r="J260">
            <v>100</v>
          </cell>
        </row>
        <row r="261">
          <cell r="H261">
            <v>37686</v>
          </cell>
          <cell r="I261" t="str">
            <v>N</v>
          </cell>
          <cell r="J261">
            <v>100</v>
          </cell>
        </row>
        <row r="262">
          <cell r="H262">
            <v>37717</v>
          </cell>
          <cell r="I262" t="str">
            <v>N</v>
          </cell>
          <cell r="J262">
            <v>100</v>
          </cell>
        </row>
        <row r="263">
          <cell r="H263">
            <v>37747</v>
          </cell>
          <cell r="I263" t="str">
            <v>N</v>
          </cell>
          <cell r="J263">
            <v>0</v>
          </cell>
        </row>
        <row r="264">
          <cell r="H264">
            <v>36897</v>
          </cell>
          <cell r="I264" t="str">
            <v>K</v>
          </cell>
          <cell r="J264">
            <v>0</v>
          </cell>
        </row>
        <row r="265">
          <cell r="H265">
            <v>36928</v>
          </cell>
          <cell r="I265" t="str">
            <v>K</v>
          </cell>
          <cell r="J265">
            <v>0</v>
          </cell>
        </row>
        <row r="266">
          <cell r="H266">
            <v>36956</v>
          </cell>
          <cell r="I266" t="str">
            <v>K</v>
          </cell>
          <cell r="J266">
            <v>0.63703268125802004</v>
          </cell>
          <cell r="L266">
            <v>1</v>
          </cell>
        </row>
        <row r="267">
          <cell r="H267">
            <v>36987</v>
          </cell>
          <cell r="I267" t="str">
            <v>K</v>
          </cell>
          <cell r="J267">
            <v>1.2463732441715498</v>
          </cell>
        </row>
        <row r="268">
          <cell r="H268">
            <v>37017</v>
          </cell>
          <cell r="I268" t="str">
            <v>K</v>
          </cell>
          <cell r="J268">
            <v>5.6071069599524108</v>
          </cell>
        </row>
        <row r="269">
          <cell r="H269">
            <v>37048</v>
          </cell>
          <cell r="I269" t="str">
            <v>K</v>
          </cell>
          <cell r="J269">
            <v>9.7539940847507989</v>
          </cell>
        </row>
        <row r="270">
          <cell r="H270">
            <v>37078</v>
          </cell>
          <cell r="I270" t="str">
            <v>K</v>
          </cell>
          <cell r="J270">
            <v>14.598822737912384</v>
          </cell>
        </row>
        <row r="271">
          <cell r="H271">
            <v>37109</v>
          </cell>
          <cell r="I271" t="str">
            <v>K</v>
          </cell>
          <cell r="J271">
            <v>21.979609359832398</v>
          </cell>
        </row>
        <row r="272">
          <cell r="H272">
            <v>37140</v>
          </cell>
          <cell r="I272" t="str">
            <v>K</v>
          </cell>
          <cell r="J272">
            <v>34.498668010529109</v>
          </cell>
        </row>
        <row r="273">
          <cell r="H273">
            <v>37170</v>
          </cell>
          <cell r="I273" t="str">
            <v>K</v>
          </cell>
          <cell r="J273">
            <v>45.96165134781328</v>
          </cell>
        </row>
        <row r="274">
          <cell r="H274">
            <v>37201</v>
          </cell>
          <cell r="I274" t="str">
            <v>K</v>
          </cell>
          <cell r="J274">
            <v>50.198017444171427</v>
          </cell>
        </row>
        <row r="275">
          <cell r="H275">
            <v>37231</v>
          </cell>
          <cell r="I275" t="str">
            <v>K</v>
          </cell>
          <cell r="J275">
            <v>58.154042561944138</v>
          </cell>
        </row>
        <row r="276">
          <cell r="H276">
            <v>37262</v>
          </cell>
          <cell r="I276" t="str">
            <v>K</v>
          </cell>
          <cell r="J276">
            <v>64.245702130764187</v>
          </cell>
        </row>
        <row r="277">
          <cell r="H277">
            <v>37293</v>
          </cell>
          <cell r="I277" t="str">
            <v>K</v>
          </cell>
          <cell r="J277">
            <v>69.56168751615985</v>
          </cell>
        </row>
        <row r="278">
          <cell r="H278">
            <v>37321</v>
          </cell>
          <cell r="I278" t="str">
            <v>K</v>
          </cell>
          <cell r="J278">
            <v>75.313610201304854</v>
          </cell>
        </row>
        <row r="279">
          <cell r="H279">
            <v>37352</v>
          </cell>
          <cell r="I279" t="str">
            <v>K</v>
          </cell>
          <cell r="J279">
            <v>82.569506239676727</v>
          </cell>
        </row>
        <row r="280">
          <cell r="H280">
            <v>37382</v>
          </cell>
          <cell r="I280" t="str">
            <v>K</v>
          </cell>
          <cell r="J280">
            <v>88.434386440138894</v>
          </cell>
        </row>
        <row r="281">
          <cell r="H281">
            <v>37413</v>
          </cell>
          <cell r="I281" t="str">
            <v>K</v>
          </cell>
          <cell r="J281">
            <v>92.32156506363178</v>
          </cell>
        </row>
        <row r="282">
          <cell r="H282">
            <v>37443</v>
          </cell>
          <cell r="I282" t="str">
            <v>K</v>
          </cell>
          <cell r="J282">
            <v>94.646210355387694</v>
          </cell>
        </row>
        <row r="283">
          <cell r="H283">
            <v>37474</v>
          </cell>
          <cell r="I283" t="str">
            <v>K</v>
          </cell>
          <cell r="J283">
            <v>96.195630914700772</v>
          </cell>
        </row>
        <row r="284">
          <cell r="H284">
            <v>37505</v>
          </cell>
          <cell r="I284" t="str">
            <v>K</v>
          </cell>
          <cell r="J284">
            <v>97.956111522982326</v>
          </cell>
        </row>
        <row r="285">
          <cell r="H285">
            <v>37535</v>
          </cell>
          <cell r="I285" t="str">
            <v>K</v>
          </cell>
          <cell r="J285">
            <v>98.916590240302298</v>
          </cell>
        </row>
        <row r="286">
          <cell r="H286">
            <v>37566</v>
          </cell>
          <cell r="I286" t="str">
            <v>K</v>
          </cell>
          <cell r="J286">
            <v>99.780203523083927</v>
          </cell>
        </row>
        <row r="287">
          <cell r="H287">
            <v>37596</v>
          </cell>
          <cell r="I287" t="str">
            <v>K</v>
          </cell>
          <cell r="J287">
            <v>99.917576321156474</v>
          </cell>
        </row>
        <row r="288">
          <cell r="H288">
            <v>37627</v>
          </cell>
          <cell r="I288" t="str">
            <v>K</v>
          </cell>
          <cell r="J288">
            <v>100</v>
          </cell>
        </row>
        <row r="289">
          <cell r="H289">
            <v>37658</v>
          </cell>
          <cell r="I289" t="str">
            <v>K</v>
          </cell>
          <cell r="J289">
            <v>100</v>
          </cell>
        </row>
        <row r="290">
          <cell r="H290">
            <v>37686</v>
          </cell>
          <cell r="I290" t="str">
            <v>K</v>
          </cell>
          <cell r="J290">
            <v>100</v>
          </cell>
        </row>
        <row r="291">
          <cell r="H291">
            <v>37717</v>
          </cell>
          <cell r="I291" t="str">
            <v>K</v>
          </cell>
          <cell r="J291">
            <v>100</v>
          </cell>
        </row>
        <row r="292">
          <cell r="H292">
            <v>37747</v>
          </cell>
          <cell r="I292" t="str">
            <v>K</v>
          </cell>
          <cell r="J292">
            <v>0</v>
          </cell>
        </row>
        <row r="293">
          <cell r="H293">
            <v>36897</v>
          </cell>
          <cell r="I293" t="str">
            <v>A</v>
          </cell>
          <cell r="J293">
            <v>0</v>
          </cell>
        </row>
        <row r="294">
          <cell r="H294">
            <v>36928</v>
          </cell>
          <cell r="I294" t="str">
            <v>A</v>
          </cell>
          <cell r="J294">
            <v>0</v>
          </cell>
        </row>
        <row r="295">
          <cell r="H295">
            <v>36956</v>
          </cell>
          <cell r="I295" t="str">
            <v>A</v>
          </cell>
          <cell r="J295">
            <v>0</v>
          </cell>
          <cell r="L295">
            <v>6.3</v>
          </cell>
        </row>
        <row r="296">
          <cell r="H296">
            <v>36987</v>
          </cell>
          <cell r="I296" t="str">
            <v>A</v>
          </cell>
          <cell r="J296">
            <v>3.9505121472334577</v>
          </cell>
        </row>
        <row r="297">
          <cell r="H297">
            <v>37017</v>
          </cell>
          <cell r="I297" t="str">
            <v>A</v>
          </cell>
          <cell r="J297">
            <v>7.7496274217585679</v>
          </cell>
        </row>
        <row r="298">
          <cell r="H298">
            <v>37048</v>
          </cell>
          <cell r="I298" t="str">
            <v>A</v>
          </cell>
          <cell r="J298">
            <v>9.5129557038910928</v>
          </cell>
        </row>
        <row r="299">
          <cell r="H299">
            <v>37078</v>
          </cell>
          <cell r="I299" t="str">
            <v>A</v>
          </cell>
          <cell r="J299">
            <v>15.654043959192487</v>
          </cell>
        </row>
        <row r="300">
          <cell r="H300">
            <v>37109</v>
          </cell>
          <cell r="I300" t="str">
            <v>A</v>
          </cell>
          <cell r="J300">
            <v>26.776984647953899</v>
          </cell>
        </row>
        <row r="301">
          <cell r="H301">
            <v>37140</v>
          </cell>
          <cell r="I301" t="str">
            <v>A</v>
          </cell>
          <cell r="J301">
            <v>42.793119574171854</v>
          </cell>
        </row>
        <row r="302">
          <cell r="H302">
            <v>37170</v>
          </cell>
          <cell r="I302" t="str">
            <v>A</v>
          </cell>
          <cell r="J302">
            <v>62.656448636602022</v>
          </cell>
        </row>
        <row r="303">
          <cell r="H303">
            <v>37201</v>
          </cell>
          <cell r="I303" t="str">
            <v>A</v>
          </cell>
          <cell r="J303">
            <v>65.823823953299438</v>
          </cell>
        </row>
        <row r="304">
          <cell r="H304">
            <v>37231</v>
          </cell>
          <cell r="I304" t="str">
            <v>A</v>
          </cell>
          <cell r="J304">
            <v>68.623910792497909</v>
          </cell>
        </row>
        <row r="305">
          <cell r="H305">
            <v>37262</v>
          </cell>
          <cell r="I305" t="str">
            <v>A</v>
          </cell>
          <cell r="J305">
            <v>73.622672143263912</v>
          </cell>
        </row>
        <row r="306">
          <cell r="H306">
            <v>37293</v>
          </cell>
          <cell r="I306" t="str">
            <v>A</v>
          </cell>
          <cell r="J306">
            <v>82.152593508051325</v>
          </cell>
        </row>
        <row r="307">
          <cell r="H307">
            <v>37321</v>
          </cell>
          <cell r="I307" t="str">
            <v>A</v>
          </cell>
          <cell r="J307">
            <v>82.734179055650458</v>
          </cell>
        </row>
        <row r="308">
          <cell r="H308">
            <v>37352</v>
          </cell>
          <cell r="I308" t="str">
            <v>A</v>
          </cell>
          <cell r="J308">
            <v>88.528225073606919</v>
          </cell>
        </row>
        <row r="309">
          <cell r="H309">
            <v>37382</v>
          </cell>
          <cell r="I309" t="str">
            <v>A</v>
          </cell>
          <cell r="J309">
            <v>92.686561738940782</v>
          </cell>
        </row>
        <row r="310">
          <cell r="H310">
            <v>37413</v>
          </cell>
          <cell r="I310" t="str">
            <v>A</v>
          </cell>
          <cell r="J310">
            <v>95.056522845407287</v>
          </cell>
        </row>
        <row r="311">
          <cell r="H311">
            <v>37443</v>
          </cell>
          <cell r="I311" t="str">
            <v>A</v>
          </cell>
          <cell r="J311">
            <v>95.78350477990621</v>
          </cell>
        </row>
        <row r="312">
          <cell r="H312">
            <v>37474</v>
          </cell>
          <cell r="I312" t="str">
            <v>A</v>
          </cell>
          <cell r="J312">
            <v>96.365090327505371</v>
          </cell>
        </row>
        <row r="313">
          <cell r="H313">
            <v>37505</v>
          </cell>
          <cell r="I313" t="str">
            <v>A</v>
          </cell>
          <cell r="J313">
            <v>97.092072262004294</v>
          </cell>
        </row>
        <row r="314">
          <cell r="H314">
            <v>37535</v>
          </cell>
          <cell r="I314" t="str">
            <v>A</v>
          </cell>
          <cell r="J314">
            <v>97.673657809603426</v>
          </cell>
        </row>
        <row r="315">
          <cell r="H315">
            <v>37566</v>
          </cell>
          <cell r="I315" t="str">
            <v>A</v>
          </cell>
          <cell r="J315">
            <v>98.255243357202573</v>
          </cell>
        </row>
        <row r="316">
          <cell r="H316">
            <v>37596</v>
          </cell>
          <cell r="I316" t="str">
            <v>A</v>
          </cell>
          <cell r="J316">
            <v>98.982225291701511</v>
          </cell>
        </row>
        <row r="317">
          <cell r="H317">
            <v>37627</v>
          </cell>
          <cell r="I317" t="str">
            <v>A</v>
          </cell>
          <cell r="J317">
            <v>99.563810839300643</v>
          </cell>
        </row>
        <row r="318">
          <cell r="H318">
            <v>37658</v>
          </cell>
          <cell r="I318" t="str">
            <v>A</v>
          </cell>
          <cell r="J318">
            <v>100</v>
          </cell>
        </row>
        <row r="319">
          <cell r="H319">
            <v>37686</v>
          </cell>
          <cell r="I319" t="str">
            <v>A</v>
          </cell>
          <cell r="J319">
            <v>100</v>
          </cell>
        </row>
        <row r="320">
          <cell r="H320">
            <v>37717</v>
          </cell>
          <cell r="I320" t="str">
            <v>A</v>
          </cell>
          <cell r="J320">
            <v>100</v>
          </cell>
        </row>
        <row r="321">
          <cell r="H321">
            <v>37747</v>
          </cell>
          <cell r="I321" t="str">
            <v>A</v>
          </cell>
          <cell r="J321">
            <v>0</v>
          </cell>
        </row>
        <row r="322">
          <cell r="H322">
            <v>36897</v>
          </cell>
          <cell r="I322" t="str">
            <v>M</v>
          </cell>
          <cell r="J322">
            <v>0</v>
          </cell>
        </row>
        <row r="323">
          <cell r="H323">
            <v>36928</v>
          </cell>
          <cell r="I323" t="str">
            <v>M</v>
          </cell>
          <cell r="J323">
            <v>0</v>
          </cell>
        </row>
        <row r="324">
          <cell r="H324">
            <v>36956</v>
          </cell>
          <cell r="I324" t="str">
            <v>M</v>
          </cell>
          <cell r="J324">
            <v>1.435110188195132</v>
          </cell>
          <cell r="L324">
            <v>1.4</v>
          </cell>
        </row>
        <row r="325">
          <cell r="H325">
            <v>36987</v>
          </cell>
          <cell r="I325" t="str">
            <v>M</v>
          </cell>
          <cell r="J325">
            <v>3.8171866415269791</v>
          </cell>
        </row>
        <row r="326">
          <cell r="H326">
            <v>37017</v>
          </cell>
          <cell r="I326" t="str">
            <v>M</v>
          </cell>
          <cell r="J326">
            <v>5.7228478041924591</v>
          </cell>
        </row>
        <row r="327">
          <cell r="H327">
            <v>37048</v>
          </cell>
          <cell r="I327" t="str">
            <v>M</v>
          </cell>
          <cell r="J327">
            <v>8.4091880986008984</v>
          </cell>
        </row>
        <row r="328">
          <cell r="H328">
            <v>37078</v>
          </cell>
          <cell r="I328" t="str">
            <v>M</v>
          </cell>
          <cell r="J328">
            <v>12.609206004532659</v>
          </cell>
        </row>
        <row r="329">
          <cell r="H329">
            <v>37109</v>
          </cell>
          <cell r="I329" t="str">
            <v>M</v>
          </cell>
          <cell r="J329">
            <v>16.236733082793052</v>
          </cell>
        </row>
        <row r="330">
          <cell r="H330">
            <v>37140</v>
          </cell>
          <cell r="I330" t="str">
            <v>M</v>
          </cell>
          <cell r="J330">
            <v>20.78302225002831</v>
          </cell>
        </row>
        <row r="331">
          <cell r="H331">
            <v>37170</v>
          </cell>
          <cell r="I331" t="str">
            <v>M</v>
          </cell>
          <cell r="J331">
            <v>26.232262502606822</v>
          </cell>
        </row>
        <row r="332">
          <cell r="H332">
            <v>37201</v>
          </cell>
          <cell r="I332" t="str">
            <v>M</v>
          </cell>
          <cell r="J332">
            <v>30.75960520632675</v>
          </cell>
        </row>
        <row r="333">
          <cell r="H333">
            <v>37231</v>
          </cell>
          <cell r="I333" t="str">
            <v>M</v>
          </cell>
          <cell r="J333">
            <v>36.496605477908275</v>
          </cell>
        </row>
        <row r="334">
          <cell r="H334">
            <v>37262</v>
          </cell>
          <cell r="I334" t="str">
            <v>M</v>
          </cell>
          <cell r="J334">
            <v>41.802167100944544</v>
          </cell>
        </row>
        <row r="335">
          <cell r="H335">
            <v>37293</v>
          </cell>
          <cell r="I335" t="str">
            <v>M</v>
          </cell>
          <cell r="J335">
            <v>47.406347611625456</v>
          </cell>
        </row>
        <row r="336">
          <cell r="H336">
            <v>37321</v>
          </cell>
          <cell r="I336" t="str">
            <v>M</v>
          </cell>
          <cell r="J336">
            <v>52.861218678484036</v>
          </cell>
        </row>
        <row r="337">
          <cell r="H337">
            <v>37352</v>
          </cell>
          <cell r="I337" t="str">
            <v>M</v>
          </cell>
          <cell r="J337">
            <v>59.941099038746323</v>
          </cell>
        </row>
        <row r="338">
          <cell r="H338">
            <v>37382</v>
          </cell>
          <cell r="I338" t="str">
            <v>M</v>
          </cell>
          <cell r="J338">
            <v>64.935373094056061</v>
          </cell>
        </row>
        <row r="339">
          <cell r="H339">
            <v>37413</v>
          </cell>
          <cell r="I339" t="str">
            <v>M</v>
          </cell>
          <cell r="J339">
            <v>69.462715797775971</v>
          </cell>
        </row>
        <row r="340">
          <cell r="H340">
            <v>37443</v>
          </cell>
          <cell r="I340" t="str">
            <v>M</v>
          </cell>
          <cell r="J340">
            <v>75.00272940540556</v>
          </cell>
        </row>
        <row r="341">
          <cell r="H341">
            <v>37474</v>
          </cell>
          <cell r="I341" t="str">
            <v>M</v>
          </cell>
          <cell r="J341">
            <v>78.849130554723686</v>
          </cell>
        </row>
        <row r="342">
          <cell r="H342">
            <v>37505</v>
          </cell>
          <cell r="I342" t="str">
            <v>M</v>
          </cell>
          <cell r="J342">
            <v>83.65713199137133</v>
          </cell>
        </row>
        <row r="343">
          <cell r="H343">
            <v>37535</v>
          </cell>
          <cell r="I343" t="str">
            <v>M</v>
          </cell>
          <cell r="J343">
            <v>87.04146565734537</v>
          </cell>
        </row>
        <row r="344">
          <cell r="H344">
            <v>37566</v>
          </cell>
          <cell r="I344" t="str">
            <v>M</v>
          </cell>
          <cell r="J344">
            <v>90.401479982090777</v>
          </cell>
        </row>
        <row r="345">
          <cell r="H345">
            <v>37596</v>
          </cell>
          <cell r="I345" t="str">
            <v>M</v>
          </cell>
          <cell r="J345">
            <v>94.460445708896444</v>
          </cell>
        </row>
        <row r="346">
          <cell r="H346">
            <v>37627</v>
          </cell>
          <cell r="I346" t="str">
            <v>M</v>
          </cell>
          <cell r="J346">
            <v>97.625905303812772</v>
          </cell>
        </row>
        <row r="347">
          <cell r="H347">
            <v>37658</v>
          </cell>
          <cell r="I347" t="str">
            <v>M</v>
          </cell>
          <cell r="J347">
            <v>100</v>
          </cell>
        </row>
        <row r="348">
          <cell r="H348">
            <v>37686</v>
          </cell>
          <cell r="I348" t="str">
            <v>M</v>
          </cell>
          <cell r="J348">
            <v>100</v>
          </cell>
        </row>
        <row r="349">
          <cell r="H349">
            <v>37717</v>
          </cell>
          <cell r="I349" t="str">
            <v>M</v>
          </cell>
          <cell r="J349">
            <v>100</v>
          </cell>
        </row>
        <row r="350">
          <cell r="H350">
            <v>37747</v>
          </cell>
          <cell r="I350" t="str">
            <v>M</v>
          </cell>
          <cell r="J350">
            <v>0</v>
          </cell>
        </row>
        <row r="351">
          <cell r="H351">
            <v>36897</v>
          </cell>
          <cell r="I351" t="str">
            <v>TZ</v>
          </cell>
          <cell r="J351">
            <v>0</v>
          </cell>
        </row>
        <row r="352">
          <cell r="H352">
            <v>36928</v>
          </cell>
          <cell r="I352" t="str">
            <v>TZ</v>
          </cell>
          <cell r="J352">
            <v>0</v>
          </cell>
        </row>
        <row r="353">
          <cell r="H353">
            <v>36956</v>
          </cell>
          <cell r="I353" t="str">
            <v>TZ</v>
          </cell>
          <cell r="J353">
            <v>0</v>
          </cell>
        </row>
        <row r="354">
          <cell r="H354">
            <v>36987</v>
          </cell>
          <cell r="I354" t="str">
            <v>TZ</v>
          </cell>
          <cell r="J354" t="e">
            <v>#DIV/0!</v>
          </cell>
        </row>
        <row r="355">
          <cell r="H355">
            <v>37017</v>
          </cell>
          <cell r="I355" t="str">
            <v>TZ</v>
          </cell>
          <cell r="J355" t="e">
            <v>#DIV/0!</v>
          </cell>
        </row>
        <row r="356">
          <cell r="H356">
            <v>37048</v>
          </cell>
          <cell r="I356" t="str">
            <v>TZ</v>
          </cell>
          <cell r="J356" t="e">
            <v>#DIV/0!</v>
          </cell>
        </row>
        <row r="357">
          <cell r="H357">
            <v>37078</v>
          </cell>
          <cell r="I357" t="str">
            <v>TZ</v>
          </cell>
          <cell r="J357" t="e">
            <v>#DIV/0!</v>
          </cell>
        </row>
        <row r="358">
          <cell r="H358">
            <v>37109</v>
          </cell>
          <cell r="I358" t="str">
            <v>TZ</v>
          </cell>
          <cell r="J358" t="e">
            <v>#DIV/0!</v>
          </cell>
        </row>
        <row r="359">
          <cell r="H359">
            <v>37140</v>
          </cell>
          <cell r="I359" t="str">
            <v>TZ</v>
          </cell>
          <cell r="J359" t="e">
            <v>#DIV/0!</v>
          </cell>
        </row>
        <row r="360">
          <cell r="H360">
            <v>37170</v>
          </cell>
          <cell r="I360" t="str">
            <v>TZ</v>
          </cell>
          <cell r="J360" t="e">
            <v>#DIV/0!</v>
          </cell>
        </row>
        <row r="361">
          <cell r="H361">
            <v>37201</v>
          </cell>
          <cell r="I361" t="str">
            <v>TZ</v>
          </cell>
          <cell r="J361" t="e">
            <v>#DIV/0!</v>
          </cell>
        </row>
        <row r="362">
          <cell r="H362">
            <v>37231</v>
          </cell>
          <cell r="I362" t="str">
            <v>TZ</v>
          </cell>
          <cell r="J362" t="e">
            <v>#DIV/0!</v>
          </cell>
        </row>
        <row r="363">
          <cell r="H363">
            <v>37262</v>
          </cell>
          <cell r="I363" t="str">
            <v>TZ</v>
          </cell>
          <cell r="J363" t="e">
            <v>#DIV/0!</v>
          </cell>
        </row>
        <row r="364">
          <cell r="H364">
            <v>37293</v>
          </cell>
          <cell r="I364" t="str">
            <v>TZ</v>
          </cell>
          <cell r="J364" t="e">
            <v>#DIV/0!</v>
          </cell>
        </row>
        <row r="365">
          <cell r="H365">
            <v>37321</v>
          </cell>
          <cell r="I365" t="str">
            <v>TZ</v>
          </cell>
          <cell r="J365" t="e">
            <v>#DIV/0!</v>
          </cell>
        </row>
        <row r="366">
          <cell r="H366">
            <v>37352</v>
          </cell>
          <cell r="I366" t="str">
            <v>TZ</v>
          </cell>
          <cell r="J366" t="e">
            <v>#DIV/0!</v>
          </cell>
        </row>
        <row r="367">
          <cell r="H367">
            <v>37382</v>
          </cell>
          <cell r="I367" t="str">
            <v>TZ</v>
          </cell>
          <cell r="J367" t="e">
            <v>#DIV/0!</v>
          </cell>
        </row>
        <row r="368">
          <cell r="H368">
            <v>37413</v>
          </cell>
          <cell r="I368" t="str">
            <v>TZ</v>
          </cell>
          <cell r="J368" t="e">
            <v>#DIV/0!</v>
          </cell>
        </row>
        <row r="369">
          <cell r="H369">
            <v>37443</v>
          </cell>
          <cell r="I369" t="str">
            <v>TZ</v>
          </cell>
          <cell r="J369" t="e">
            <v>#DIV/0!</v>
          </cell>
        </row>
        <row r="370">
          <cell r="H370">
            <v>37474</v>
          </cell>
          <cell r="I370" t="str">
            <v>TZ</v>
          </cell>
          <cell r="J370" t="e">
            <v>#DIV/0!</v>
          </cell>
        </row>
        <row r="371">
          <cell r="H371">
            <v>37505</v>
          </cell>
          <cell r="I371" t="str">
            <v>TZ</v>
          </cell>
          <cell r="J371" t="e">
            <v>#DIV/0!</v>
          </cell>
        </row>
        <row r="372">
          <cell r="I372" t="str">
            <v>TZ</v>
          </cell>
          <cell r="J372" t="e">
            <v>#DIV/0!</v>
          </cell>
        </row>
        <row r="373">
          <cell r="I373" t="str">
            <v>TZ</v>
          </cell>
          <cell r="J373" t="e">
            <v>#DIV/0!</v>
          </cell>
        </row>
        <row r="374">
          <cell r="I374" t="str">
            <v>TZ</v>
          </cell>
          <cell r="J374" t="e">
            <v>#DIV/0!</v>
          </cell>
        </row>
        <row r="375">
          <cell r="I375" t="str">
            <v>TZ</v>
          </cell>
          <cell r="J375" t="e">
            <v>#DIV/0!</v>
          </cell>
        </row>
        <row r="376">
          <cell r="I376" t="str">
            <v>TZ</v>
          </cell>
          <cell r="J376" t="e">
            <v>#DIV/0!</v>
          </cell>
        </row>
        <row r="377">
          <cell r="I377" t="str">
            <v>TZ</v>
          </cell>
          <cell r="J377" t="e">
            <v>#DIV/0!</v>
          </cell>
        </row>
        <row r="378">
          <cell r="I378" t="str">
            <v>TZ</v>
          </cell>
          <cell r="J378" t="e">
            <v>#DIV/0!</v>
          </cell>
        </row>
        <row r="379">
          <cell r="I379" t="str">
            <v>TZ</v>
          </cell>
          <cell r="J379">
            <v>0</v>
          </cell>
        </row>
        <row r="380">
          <cell r="I380" t="str">
            <v>Z</v>
          </cell>
          <cell r="J380">
            <v>0</v>
          </cell>
        </row>
        <row r="381">
          <cell r="I381" t="str">
            <v>Z</v>
          </cell>
          <cell r="J381">
            <v>0</v>
          </cell>
        </row>
        <row r="382">
          <cell r="I382" t="str">
            <v>Z</v>
          </cell>
          <cell r="J382">
            <v>0</v>
          </cell>
        </row>
        <row r="383">
          <cell r="I383" t="str">
            <v>Z</v>
          </cell>
          <cell r="J383">
            <v>0.27953060998560836</v>
          </cell>
        </row>
        <row r="384">
          <cell r="I384" t="str">
            <v>Z</v>
          </cell>
          <cell r="J384">
            <v>0.97515459189321718</v>
          </cell>
        </row>
        <row r="385">
          <cell r="I385" t="str">
            <v>Z</v>
          </cell>
          <cell r="J385">
            <v>7.4322721449921749</v>
          </cell>
        </row>
        <row r="386">
          <cell r="I386" t="str">
            <v>Z</v>
          </cell>
          <cell r="J386">
            <v>14.990510983536559</v>
          </cell>
        </row>
        <row r="387">
          <cell r="I387" t="str">
            <v>Z</v>
          </cell>
          <cell r="J387">
            <v>19.752573895715717</v>
          </cell>
        </row>
        <row r="388">
          <cell r="I388" t="str">
            <v>Z</v>
          </cell>
          <cell r="J388">
            <v>24.439554965127872</v>
          </cell>
        </row>
        <row r="389">
          <cell r="I389" t="str">
            <v>Z</v>
          </cell>
          <cell r="J389">
            <v>29.650211130616317</v>
          </cell>
        </row>
        <row r="390">
          <cell r="I390" t="str">
            <v>Z</v>
          </cell>
          <cell r="J390">
            <v>32.877069791716096</v>
          </cell>
        </row>
        <row r="391">
          <cell r="I391" t="str">
            <v>Z</v>
          </cell>
          <cell r="J391">
            <v>42.904390251617095</v>
          </cell>
        </row>
        <row r="392">
          <cell r="I392" t="str">
            <v>Z</v>
          </cell>
          <cell r="J392">
            <v>53.412487545665897</v>
          </cell>
        </row>
        <row r="393">
          <cell r="I393" t="str">
            <v>Z</v>
          </cell>
          <cell r="J393">
            <v>63.007860068637221</v>
          </cell>
        </row>
        <row r="394">
          <cell r="I394" t="str">
            <v>Z</v>
          </cell>
          <cell r="J394">
            <v>71.557068526513888</v>
          </cell>
        </row>
        <row r="395">
          <cell r="I395" t="str">
            <v>Z</v>
          </cell>
          <cell r="J395">
            <v>73.627255618288501</v>
          </cell>
        </row>
        <row r="396">
          <cell r="I396" t="str">
            <v>Z</v>
          </cell>
          <cell r="J396">
            <v>82.159858297354148</v>
          </cell>
        </row>
        <row r="397">
          <cell r="I397" t="str">
            <v>Z</v>
          </cell>
          <cell r="J397">
            <v>91.431418133510462</v>
          </cell>
        </row>
        <row r="398">
          <cell r="I398" t="str">
            <v>Z</v>
          </cell>
          <cell r="J398">
            <v>92.555075833056577</v>
          </cell>
        </row>
        <row r="399">
          <cell r="I399" t="str">
            <v>Z</v>
          </cell>
          <cell r="J399">
            <v>93.440717369644631</v>
          </cell>
        </row>
        <row r="400">
          <cell r="I400" t="str">
            <v>Z</v>
          </cell>
          <cell r="J400">
            <v>94.13262482010407</v>
          </cell>
        </row>
        <row r="401">
          <cell r="I401" t="str">
            <v>Z</v>
          </cell>
          <cell r="J401">
            <v>94.686150780471607</v>
          </cell>
        </row>
        <row r="402">
          <cell r="I402" t="str">
            <v>Z</v>
          </cell>
          <cell r="J402">
            <v>99.723237019816224</v>
          </cell>
        </row>
        <row r="403">
          <cell r="I403" t="str">
            <v>Z</v>
          </cell>
          <cell r="J403">
            <v>100</v>
          </cell>
        </row>
        <row r="404">
          <cell r="I404" t="str">
            <v>Z</v>
          </cell>
          <cell r="J404">
            <v>100</v>
          </cell>
        </row>
        <row r="405">
          <cell r="I405" t="str">
            <v>Z</v>
          </cell>
          <cell r="J405">
            <v>100</v>
          </cell>
        </row>
        <row r="406">
          <cell r="I406" t="str">
            <v>Z</v>
          </cell>
          <cell r="J406">
            <v>100</v>
          </cell>
        </row>
        <row r="407">
          <cell r="I407" t="str">
            <v>Z</v>
          </cell>
          <cell r="J407">
            <v>100</v>
          </cell>
        </row>
        <row r="408">
          <cell r="I408" t="str">
            <v>Z</v>
          </cell>
          <cell r="J408">
            <v>0</v>
          </cell>
        </row>
        <row r="409">
          <cell r="I409" t="str">
            <v>1Z</v>
          </cell>
          <cell r="J409">
            <v>0</v>
          </cell>
        </row>
        <row r="410">
          <cell r="I410" t="str">
            <v>1Z</v>
          </cell>
          <cell r="J410">
            <v>0</v>
          </cell>
        </row>
        <row r="411">
          <cell r="I411" t="str">
            <v>1Z</v>
          </cell>
          <cell r="J411">
            <v>0</v>
          </cell>
        </row>
        <row r="412">
          <cell r="I412" t="str">
            <v>1Z</v>
          </cell>
          <cell r="J412">
            <v>0</v>
          </cell>
        </row>
        <row r="413">
          <cell r="I413" t="str">
            <v>1Z</v>
          </cell>
          <cell r="J413">
            <v>0</v>
          </cell>
        </row>
        <row r="414">
          <cell r="I414" t="str">
            <v>1Z</v>
          </cell>
          <cell r="J414">
            <v>0</v>
          </cell>
        </row>
        <row r="415">
          <cell r="I415" t="str">
            <v>1Z</v>
          </cell>
          <cell r="J415">
            <v>0</v>
          </cell>
        </row>
        <row r="416">
          <cell r="I416" t="str">
            <v>1Z</v>
          </cell>
          <cell r="J416">
            <v>0.5829228243021346</v>
          </cell>
        </row>
        <row r="417">
          <cell r="I417" t="str">
            <v>1Z</v>
          </cell>
          <cell r="J417">
            <v>4.4000986519727157</v>
          </cell>
        </row>
        <row r="418">
          <cell r="I418" t="str">
            <v>1Z</v>
          </cell>
          <cell r="J418">
            <v>10.848514054660981</v>
          </cell>
        </row>
        <row r="419">
          <cell r="I419" t="str">
            <v>1Z</v>
          </cell>
          <cell r="J419">
            <v>16.110694652673661</v>
          </cell>
        </row>
        <row r="420">
          <cell r="I420" t="str">
            <v>1Z</v>
          </cell>
          <cell r="J420">
            <v>22.934725818908728</v>
          </cell>
        </row>
        <row r="421">
          <cell r="I421" t="str">
            <v>1Z</v>
          </cell>
          <cell r="J421">
            <v>29.044197057315497</v>
          </cell>
        </row>
        <row r="422">
          <cell r="I422" t="str">
            <v>1Z</v>
          </cell>
          <cell r="J422">
            <v>35.153668295722269</v>
          </cell>
        </row>
        <row r="423">
          <cell r="I423" t="str">
            <v>1Z</v>
          </cell>
          <cell r="J423">
            <v>41.263139534129039</v>
          </cell>
        </row>
        <row r="424">
          <cell r="I424" t="str">
            <v>1Z</v>
          </cell>
          <cell r="J424">
            <v>48.8999785821375</v>
          </cell>
        </row>
        <row r="425">
          <cell r="I425" t="str">
            <v>1Z</v>
          </cell>
          <cell r="J425">
            <v>55.009449820544262</v>
          </cell>
        </row>
        <row r="426">
          <cell r="I426" t="str">
            <v>1Z</v>
          </cell>
          <cell r="J426">
            <v>61.213464446597875</v>
          </cell>
        </row>
        <row r="427">
          <cell r="I427" t="str">
            <v>1Z</v>
          </cell>
          <cell r="J427">
            <v>68.135371874502297</v>
          </cell>
        </row>
        <row r="428">
          <cell r="I428" t="str">
            <v>1Z</v>
          </cell>
          <cell r="J428">
            <v>73.073736977665021</v>
          </cell>
        </row>
        <row r="429">
          <cell r="I429" t="str">
            <v>1Z</v>
          </cell>
          <cell r="J429">
            <v>79.246693356618394</v>
          </cell>
        </row>
        <row r="430">
          <cell r="I430" t="str">
            <v>1Z</v>
          </cell>
          <cell r="J430">
            <v>84.037275208549559</v>
          </cell>
        </row>
        <row r="431">
          <cell r="I431" t="str">
            <v>1Z</v>
          </cell>
          <cell r="J431">
            <v>89.468251149150689</v>
          </cell>
        </row>
        <row r="432">
          <cell r="I432" t="str">
            <v>1Z</v>
          </cell>
          <cell r="J432">
            <v>97.081904761904752</v>
          </cell>
        </row>
        <row r="433">
          <cell r="I433" t="str">
            <v>1Z</v>
          </cell>
          <cell r="J433">
            <v>100</v>
          </cell>
        </row>
        <row r="434">
          <cell r="I434" t="str">
            <v>1Z</v>
          </cell>
          <cell r="J434">
            <v>100</v>
          </cell>
        </row>
        <row r="435">
          <cell r="I435" t="str">
            <v>1Z</v>
          </cell>
          <cell r="J435">
            <v>100</v>
          </cell>
        </row>
        <row r="436">
          <cell r="I436" t="str">
            <v>1Z</v>
          </cell>
          <cell r="J436">
            <v>100</v>
          </cell>
        </row>
        <row r="437">
          <cell r="I437" t="str">
            <v>1Z</v>
          </cell>
          <cell r="J437">
            <v>0</v>
          </cell>
        </row>
        <row r="438">
          <cell r="I438" t="str">
            <v>3Z</v>
          </cell>
          <cell r="J438">
            <v>0</v>
          </cell>
        </row>
        <row r="439">
          <cell r="I439" t="str">
            <v>3Z</v>
          </cell>
          <cell r="J439">
            <v>0</v>
          </cell>
        </row>
        <row r="440">
          <cell r="I440" t="str">
            <v>3Z</v>
          </cell>
          <cell r="J440">
            <v>0</v>
          </cell>
        </row>
        <row r="441">
          <cell r="I441" t="str">
            <v>3Z</v>
          </cell>
          <cell r="J441">
            <v>0</v>
          </cell>
        </row>
        <row r="442">
          <cell r="I442" t="str">
            <v>3Z</v>
          </cell>
          <cell r="J442">
            <v>0</v>
          </cell>
        </row>
        <row r="443">
          <cell r="I443" t="str">
            <v>3Z</v>
          </cell>
          <cell r="J443">
            <v>0</v>
          </cell>
        </row>
        <row r="444">
          <cell r="I444" t="str">
            <v>3Z</v>
          </cell>
          <cell r="J444">
            <v>0</v>
          </cell>
        </row>
        <row r="445">
          <cell r="I445" t="str">
            <v>3Z</v>
          </cell>
          <cell r="J445">
            <v>0</v>
          </cell>
        </row>
        <row r="446">
          <cell r="I446" t="str">
            <v>3Z</v>
          </cell>
          <cell r="J446">
            <v>0</v>
          </cell>
        </row>
        <row r="447">
          <cell r="I447" t="str">
            <v>3Z</v>
          </cell>
          <cell r="J447">
            <v>0</v>
          </cell>
        </row>
        <row r="448">
          <cell r="I448" t="str">
            <v>3Z</v>
          </cell>
          <cell r="J448">
            <v>0</v>
          </cell>
        </row>
        <row r="449">
          <cell r="I449" t="str">
            <v>3Z</v>
          </cell>
          <cell r="J449">
            <v>0</v>
          </cell>
        </row>
        <row r="450">
          <cell r="I450" t="str">
            <v>3Z</v>
          </cell>
          <cell r="J450">
            <v>5.2631578947368434</v>
          </cell>
        </row>
        <row r="451">
          <cell r="I451" t="str">
            <v>3Z</v>
          </cell>
          <cell r="J451">
            <v>12.280701754385962</v>
          </cell>
        </row>
        <row r="452">
          <cell r="I452" t="str">
            <v>3Z</v>
          </cell>
          <cell r="J452">
            <v>19.298245614035075</v>
          </cell>
        </row>
        <row r="453">
          <cell r="I453" t="str">
            <v>3Z</v>
          </cell>
          <cell r="J453">
            <v>28.070175438596483</v>
          </cell>
        </row>
        <row r="454">
          <cell r="I454" t="str">
            <v>3Z</v>
          </cell>
          <cell r="J454">
            <v>35.087719298245609</v>
          </cell>
        </row>
        <row r="455">
          <cell r="I455" t="str">
            <v>3Z</v>
          </cell>
          <cell r="J455">
            <v>42.105263157894733</v>
          </cell>
        </row>
        <row r="456">
          <cell r="I456" t="str">
            <v>3Z</v>
          </cell>
          <cell r="J456">
            <v>50.87719298245613</v>
          </cell>
        </row>
        <row r="457">
          <cell r="I457" t="str">
            <v>3Z</v>
          </cell>
          <cell r="J457">
            <v>57.894736842105267</v>
          </cell>
        </row>
        <row r="458">
          <cell r="I458" t="str">
            <v>3Z</v>
          </cell>
          <cell r="J458">
            <v>66.666666666666671</v>
          </cell>
        </row>
        <row r="459">
          <cell r="I459" t="str">
            <v>3Z</v>
          </cell>
          <cell r="J459">
            <v>73.684210526315795</v>
          </cell>
        </row>
        <row r="460">
          <cell r="I460" t="str">
            <v>3Z</v>
          </cell>
          <cell r="J460">
            <v>80.701754385964918</v>
          </cell>
        </row>
        <row r="461">
          <cell r="I461" t="str">
            <v>3Z</v>
          </cell>
          <cell r="J461">
            <v>89.473684210526315</v>
          </cell>
        </row>
        <row r="462">
          <cell r="I462" t="str">
            <v>3Z</v>
          </cell>
          <cell r="J462">
            <v>96.491228070175453</v>
          </cell>
        </row>
        <row r="463">
          <cell r="I463" t="str">
            <v>3Z</v>
          </cell>
          <cell r="J463">
            <v>100</v>
          </cell>
        </row>
        <row r="464">
          <cell r="I464" t="str">
            <v>3Z</v>
          </cell>
          <cell r="J464">
            <v>100</v>
          </cell>
        </row>
        <row r="465">
          <cell r="I465" t="str">
            <v>3Z</v>
          </cell>
          <cell r="J465">
            <v>100</v>
          </cell>
        </row>
        <row r="466">
          <cell r="I466" t="str">
            <v>3Z</v>
          </cell>
          <cell r="J466">
            <v>0</v>
          </cell>
        </row>
        <row r="467">
          <cell r="I467" t="str">
            <v>TEE</v>
          </cell>
          <cell r="J467" t="e">
            <v>#DIV/0!</v>
          </cell>
          <cell r="L467">
            <v>0</v>
          </cell>
        </row>
        <row r="468">
          <cell r="I468" t="str">
            <v>TEE</v>
          </cell>
          <cell r="J468" t="e">
            <v>#DIV/0!</v>
          </cell>
          <cell r="L468">
            <v>0</v>
          </cell>
        </row>
        <row r="469">
          <cell r="I469" t="str">
            <v>TEE</v>
          </cell>
          <cell r="J469" t="e">
            <v>#DIV/0!</v>
          </cell>
          <cell r="L469">
            <v>1.6351089406461305</v>
          </cell>
        </row>
        <row r="470">
          <cell r="I470" t="str">
            <v>TEE</v>
          </cell>
          <cell r="J470" t="e">
            <v>#DIV/0!</v>
          </cell>
          <cell r="L470">
            <v>0</v>
          </cell>
        </row>
        <row r="471">
          <cell r="I471" t="str">
            <v>TEE</v>
          </cell>
          <cell r="J471" t="e">
            <v>#DIV/0!</v>
          </cell>
          <cell r="L471">
            <v>0</v>
          </cell>
        </row>
        <row r="472">
          <cell r="I472" t="str">
            <v>TEE</v>
          </cell>
          <cell r="J472" t="e">
            <v>#DIV/0!</v>
          </cell>
        </row>
        <row r="473">
          <cell r="I473" t="str">
            <v>TEE</v>
          </cell>
          <cell r="J473" t="e">
            <v>#DIV/0!</v>
          </cell>
        </row>
        <row r="474">
          <cell r="I474" t="str">
            <v>TEE</v>
          </cell>
          <cell r="J474" t="e">
            <v>#DIV/0!</v>
          </cell>
        </row>
        <row r="475">
          <cell r="I475" t="str">
            <v>TEE</v>
          </cell>
          <cell r="J475" t="e">
            <v>#DIV/0!</v>
          </cell>
        </row>
        <row r="476">
          <cell r="I476" t="str">
            <v>TEE</v>
          </cell>
          <cell r="J476" t="e">
            <v>#DIV/0!</v>
          </cell>
        </row>
        <row r="477">
          <cell r="I477" t="str">
            <v>TEE</v>
          </cell>
          <cell r="J477" t="e">
            <v>#DIV/0!</v>
          </cell>
        </row>
        <row r="478">
          <cell r="I478" t="str">
            <v>TEE</v>
          </cell>
          <cell r="J478" t="e">
            <v>#DIV/0!</v>
          </cell>
        </row>
        <row r="479">
          <cell r="I479" t="str">
            <v>TEE</v>
          </cell>
          <cell r="J479" t="e">
            <v>#DIV/0!</v>
          </cell>
        </row>
        <row r="480">
          <cell r="I480" t="str">
            <v>TEE</v>
          </cell>
          <cell r="J480" t="e">
            <v>#DIV/0!</v>
          </cell>
        </row>
        <row r="481">
          <cell r="I481" t="str">
            <v>TEE</v>
          </cell>
          <cell r="J481" t="e">
            <v>#DIV/0!</v>
          </cell>
        </row>
        <row r="482">
          <cell r="I482" t="str">
            <v>TEE</v>
          </cell>
          <cell r="J482" t="e">
            <v>#DIV/0!</v>
          </cell>
        </row>
        <row r="483">
          <cell r="I483" t="str">
            <v>TEE</v>
          </cell>
          <cell r="J483" t="e">
            <v>#DIV/0!</v>
          </cell>
        </row>
        <row r="484">
          <cell r="I484" t="str">
            <v>TEE</v>
          </cell>
          <cell r="J484" t="e">
            <v>#DIV/0!</v>
          </cell>
        </row>
        <row r="485">
          <cell r="I485" t="str">
            <v>TEE</v>
          </cell>
          <cell r="J485" t="e">
            <v>#DIV/0!</v>
          </cell>
        </row>
        <row r="486">
          <cell r="I486" t="str">
            <v>TEE</v>
          </cell>
          <cell r="J486" t="e">
            <v>#DIV/0!</v>
          </cell>
        </row>
        <row r="487">
          <cell r="I487" t="str">
            <v>TEE</v>
          </cell>
          <cell r="J487" t="e">
            <v>#DIV/0!</v>
          </cell>
        </row>
        <row r="488">
          <cell r="I488" t="str">
            <v>TEE</v>
          </cell>
          <cell r="J488" t="e">
            <v>#DIV/0!</v>
          </cell>
        </row>
        <row r="489">
          <cell r="I489" t="str">
            <v>TEE</v>
          </cell>
          <cell r="J489" t="e">
            <v>#DIV/0!</v>
          </cell>
        </row>
        <row r="490">
          <cell r="I490" t="str">
            <v>TEE</v>
          </cell>
          <cell r="J490" t="e">
            <v>#DIV/0!</v>
          </cell>
        </row>
        <row r="491">
          <cell r="I491" t="str">
            <v>TEE</v>
          </cell>
          <cell r="J491" t="e">
            <v>#DIV/0!</v>
          </cell>
        </row>
        <row r="492">
          <cell r="I492" t="str">
            <v>TEE</v>
          </cell>
          <cell r="J492" t="e">
            <v>#DIV/0!</v>
          </cell>
        </row>
        <row r="493">
          <cell r="I493" t="str">
            <v>TEE</v>
          </cell>
          <cell r="J493" t="e">
            <v>#DIV/0!</v>
          </cell>
        </row>
        <row r="494">
          <cell r="I494" t="str">
            <v>TEE</v>
          </cell>
          <cell r="J494" t="e">
            <v>#DIV/0!</v>
          </cell>
        </row>
        <row r="495">
          <cell r="I495" t="str">
            <v>TEE</v>
          </cell>
          <cell r="J495" t="e">
            <v>#DIV/0!</v>
          </cell>
        </row>
        <row r="496">
          <cell r="I496" t="str">
            <v>PDP</v>
          </cell>
          <cell r="J496" t="e">
            <v>#DIV/0!</v>
          </cell>
          <cell r="L496">
            <v>0</v>
          </cell>
        </row>
        <row r="497">
          <cell r="I497" t="str">
            <v>PDP</v>
          </cell>
          <cell r="J497" t="e">
            <v>#DIV/0!</v>
          </cell>
          <cell r="L497">
            <v>0</v>
          </cell>
        </row>
        <row r="498">
          <cell r="I498" t="str">
            <v>PDP</v>
          </cell>
          <cell r="J498" t="e">
            <v>#DIV/0!</v>
          </cell>
        </row>
        <row r="499">
          <cell r="I499" t="str">
            <v>PDP</v>
          </cell>
          <cell r="J499" t="e">
            <v>#DIV/0!</v>
          </cell>
        </row>
        <row r="500">
          <cell r="I500" t="str">
            <v>PDP</v>
          </cell>
          <cell r="J500" t="e">
            <v>#DIV/0!</v>
          </cell>
        </row>
        <row r="501">
          <cell r="I501" t="str">
            <v>PDP</v>
          </cell>
          <cell r="J501" t="e">
            <v>#DIV/0!</v>
          </cell>
        </row>
        <row r="502">
          <cell r="I502" t="str">
            <v>PDP</v>
          </cell>
          <cell r="J502" t="e">
            <v>#DIV/0!</v>
          </cell>
        </row>
        <row r="503">
          <cell r="I503" t="str">
            <v>PDP</v>
          </cell>
          <cell r="J503" t="e">
            <v>#DIV/0!</v>
          </cell>
        </row>
        <row r="504">
          <cell r="I504" t="str">
            <v>PDP</v>
          </cell>
          <cell r="J504" t="e">
            <v>#DIV/0!</v>
          </cell>
        </row>
        <row r="505">
          <cell r="I505" t="str">
            <v>PDP</v>
          </cell>
          <cell r="J505" t="e">
            <v>#DIV/0!</v>
          </cell>
        </row>
        <row r="506">
          <cell r="I506" t="str">
            <v>PDP</v>
          </cell>
          <cell r="J506" t="e">
            <v>#DIV/0!</v>
          </cell>
        </row>
        <row r="507">
          <cell r="I507" t="str">
            <v>PDP</v>
          </cell>
          <cell r="J507" t="e">
            <v>#DIV/0!</v>
          </cell>
        </row>
        <row r="508">
          <cell r="I508" t="str">
            <v>PDP</v>
          </cell>
          <cell r="J508" t="e">
            <v>#DIV/0!</v>
          </cell>
        </row>
      </sheetData>
      <sheetData sheetId="3">
        <row r="4">
          <cell r="I4" t="str">
            <v>TP</v>
          </cell>
          <cell r="K4">
            <v>0</v>
          </cell>
          <cell r="M4">
            <v>0</v>
          </cell>
        </row>
        <row r="5">
          <cell r="I5" t="str">
            <v>TP</v>
          </cell>
          <cell r="K5">
            <v>0</v>
          </cell>
          <cell r="M5">
            <v>0</v>
          </cell>
        </row>
        <row r="6">
          <cell r="I6" t="str">
            <v>TP</v>
          </cell>
          <cell r="K6">
            <v>0</v>
          </cell>
          <cell r="M6">
            <v>0</v>
          </cell>
        </row>
        <row r="7">
          <cell r="I7" t="str">
            <v>TP</v>
          </cell>
          <cell r="K7">
            <v>0</v>
          </cell>
          <cell r="M7">
            <v>0</v>
          </cell>
        </row>
        <row r="8">
          <cell r="I8" t="str">
            <v>TP</v>
          </cell>
          <cell r="K8">
            <v>0</v>
          </cell>
          <cell r="M8">
            <v>0</v>
          </cell>
        </row>
        <row r="9">
          <cell r="I9" t="str">
            <v>TP</v>
          </cell>
          <cell r="K9">
            <v>0</v>
          </cell>
          <cell r="M9">
            <v>0</v>
          </cell>
        </row>
        <row r="10">
          <cell r="I10" t="str">
            <v>TP</v>
          </cell>
          <cell r="K10">
            <v>0</v>
          </cell>
          <cell r="M10">
            <v>0</v>
          </cell>
        </row>
        <row r="11">
          <cell r="I11" t="str">
            <v>TP</v>
          </cell>
          <cell r="K11">
            <v>0</v>
          </cell>
          <cell r="M11">
            <v>0</v>
          </cell>
        </row>
        <row r="12">
          <cell r="I12" t="str">
            <v>TP</v>
          </cell>
        </row>
        <row r="13">
          <cell r="I13" t="str">
            <v>TP</v>
          </cell>
        </row>
        <row r="14">
          <cell r="I14" t="str">
            <v>TP</v>
          </cell>
        </row>
        <row r="15">
          <cell r="I15" t="str">
            <v>TP</v>
          </cell>
        </row>
        <row r="16">
          <cell r="I16" t="str">
            <v>TP</v>
          </cell>
        </row>
        <row r="17">
          <cell r="I17" t="str">
            <v>TP</v>
          </cell>
        </row>
        <row r="18">
          <cell r="I18" t="str">
            <v>TP</v>
          </cell>
        </row>
        <row r="19">
          <cell r="I19" t="str">
            <v>TP</v>
          </cell>
          <cell r="K19">
            <v>0</v>
          </cell>
          <cell r="M19">
            <v>0</v>
          </cell>
        </row>
        <row r="20">
          <cell r="I20" t="str">
            <v>TP</v>
          </cell>
          <cell r="K20">
            <v>0</v>
          </cell>
          <cell r="M20">
            <v>0</v>
          </cell>
        </row>
        <row r="21">
          <cell r="I21" t="str">
            <v>TP</v>
          </cell>
          <cell r="K21">
            <v>0</v>
          </cell>
          <cell r="M21">
            <v>0</v>
          </cell>
        </row>
        <row r="22">
          <cell r="I22" t="str">
            <v>TP</v>
          </cell>
          <cell r="K22">
            <v>0</v>
          </cell>
          <cell r="M22">
            <v>0</v>
          </cell>
        </row>
        <row r="23">
          <cell r="I23" t="str">
            <v>TP</v>
          </cell>
          <cell r="K23">
            <v>0</v>
          </cell>
          <cell r="M23">
            <v>0</v>
          </cell>
        </row>
        <row r="24">
          <cell r="I24" t="str">
            <v>TP</v>
          </cell>
          <cell r="K24">
            <v>0</v>
          </cell>
          <cell r="M24">
            <v>0</v>
          </cell>
        </row>
        <row r="25">
          <cell r="I25" t="str">
            <v>TP</v>
          </cell>
          <cell r="K25">
            <v>0</v>
          </cell>
          <cell r="M25">
            <v>0</v>
          </cell>
        </row>
        <row r="26">
          <cell r="I26" t="str">
            <v>TP</v>
          </cell>
          <cell r="K26">
            <v>0</v>
          </cell>
          <cell r="M26">
            <v>0</v>
          </cell>
        </row>
        <row r="27">
          <cell r="I27" t="str">
            <v>TP</v>
          </cell>
          <cell r="K27">
            <v>0</v>
          </cell>
          <cell r="M27">
            <v>0</v>
          </cell>
        </row>
        <row r="28">
          <cell r="I28" t="str">
            <v>TP</v>
          </cell>
        </row>
        <row r="29">
          <cell r="I29" t="str">
            <v>TP</v>
          </cell>
        </row>
        <row r="30">
          <cell r="I30" t="str">
            <v>TP</v>
          </cell>
        </row>
        <row r="31">
          <cell r="I31" t="str">
            <v>TP</v>
          </cell>
        </row>
        <row r="32">
          <cell r="I32" t="str">
            <v>TE</v>
          </cell>
          <cell r="J32">
            <v>0</v>
          </cell>
        </row>
        <row r="33">
          <cell r="I33" t="str">
            <v>TE</v>
          </cell>
          <cell r="J33">
            <v>0</v>
          </cell>
        </row>
        <row r="34">
          <cell r="I34" t="str">
            <v>TE</v>
          </cell>
        </row>
        <row r="35">
          <cell r="I35" t="str">
            <v>TE</v>
          </cell>
          <cell r="K35">
            <v>0</v>
          </cell>
          <cell r="M35">
            <v>0</v>
          </cell>
        </row>
        <row r="36">
          <cell r="I36" t="str">
            <v>TE</v>
          </cell>
          <cell r="M36">
            <v>0</v>
          </cell>
        </row>
        <row r="37">
          <cell r="I37" t="str">
            <v>TE</v>
          </cell>
          <cell r="M37">
            <v>0</v>
          </cell>
        </row>
        <row r="38">
          <cell r="I38" t="str">
            <v>TE</v>
          </cell>
          <cell r="M38">
            <v>0</v>
          </cell>
        </row>
        <row r="39">
          <cell r="I39" t="str">
            <v>TE</v>
          </cell>
          <cell r="M39">
            <v>0</v>
          </cell>
        </row>
        <row r="40">
          <cell r="I40" t="str">
            <v>TE</v>
          </cell>
          <cell r="M40">
            <v>0</v>
          </cell>
        </row>
        <row r="41">
          <cell r="I41" t="str">
            <v>TE</v>
          </cell>
          <cell r="M41">
            <v>0</v>
          </cell>
        </row>
        <row r="42">
          <cell r="I42" t="str">
            <v>TE</v>
          </cell>
          <cell r="M42">
            <v>0</v>
          </cell>
        </row>
        <row r="43">
          <cell r="I43" t="str">
            <v>TE</v>
          </cell>
          <cell r="M43">
            <v>0</v>
          </cell>
        </row>
        <row r="44">
          <cell r="I44" t="str">
            <v>TE</v>
          </cell>
        </row>
        <row r="45">
          <cell r="I45" t="str">
            <v>TE</v>
          </cell>
        </row>
        <row r="46">
          <cell r="I46" t="str">
            <v>TE</v>
          </cell>
        </row>
        <row r="47">
          <cell r="I47" t="str">
            <v>TE</v>
          </cell>
        </row>
        <row r="48">
          <cell r="I48" t="str">
            <v>TE</v>
          </cell>
        </row>
        <row r="49">
          <cell r="I49" t="str">
            <v>TE</v>
          </cell>
        </row>
        <row r="50">
          <cell r="I50" t="str">
            <v>TE</v>
          </cell>
        </row>
        <row r="51">
          <cell r="I51" t="str">
            <v>TE</v>
          </cell>
          <cell r="M51" t="e">
            <v>#DIV/0!</v>
          </cell>
        </row>
        <row r="52">
          <cell r="I52" t="str">
            <v>TE</v>
          </cell>
          <cell r="M52" t="e">
            <v>#DIV/0!</v>
          </cell>
        </row>
        <row r="53">
          <cell r="I53" t="str">
            <v>TE</v>
          </cell>
          <cell r="M53" t="e">
            <v>#DIV/0!</v>
          </cell>
        </row>
        <row r="54">
          <cell r="I54" t="str">
            <v>TE</v>
          </cell>
          <cell r="M54" t="e">
            <v>#DIV/0!</v>
          </cell>
        </row>
        <row r="55">
          <cell r="I55" t="str">
            <v>TE</v>
          </cell>
          <cell r="M55" t="e">
            <v>#DIV/0!</v>
          </cell>
        </row>
        <row r="56">
          <cell r="I56" t="str">
            <v>TE</v>
          </cell>
          <cell r="M56" t="e">
            <v>#DIV/0!</v>
          </cell>
        </row>
        <row r="57">
          <cell r="I57" t="str">
            <v>TE</v>
          </cell>
          <cell r="M57" t="e">
            <v>#DIV/0!</v>
          </cell>
        </row>
        <row r="58">
          <cell r="I58" t="str">
            <v>TE</v>
          </cell>
          <cell r="J58">
            <v>0</v>
          </cell>
          <cell r="M58" t="e">
            <v>#DIV/0!</v>
          </cell>
        </row>
        <row r="59">
          <cell r="I59" t="str">
            <v>TE</v>
          </cell>
          <cell r="J59">
            <v>0</v>
          </cell>
          <cell r="M59" t="e">
            <v>#DIV/0!</v>
          </cell>
        </row>
        <row r="60">
          <cell r="I60" t="str">
            <v>TE</v>
          </cell>
        </row>
        <row r="61">
          <cell r="I61" t="str">
            <v>V</v>
          </cell>
          <cell r="J61">
            <v>0</v>
          </cell>
          <cell r="M61">
            <v>0</v>
          </cell>
        </row>
        <row r="62">
          <cell r="I62" t="str">
            <v>V</v>
          </cell>
          <cell r="J62">
            <v>60.297619047619058</v>
          </cell>
          <cell r="M62">
            <v>0</v>
          </cell>
        </row>
        <row r="63">
          <cell r="I63" t="str">
            <v>V</v>
          </cell>
          <cell r="J63">
            <v>537.84997845291969</v>
          </cell>
          <cell r="M63">
            <v>0</v>
          </cell>
        </row>
        <row r="64">
          <cell r="I64" t="str">
            <v>V</v>
          </cell>
          <cell r="J64">
            <v>970.24726743844371</v>
          </cell>
          <cell r="M64">
            <v>0</v>
          </cell>
        </row>
        <row r="65">
          <cell r="I65" t="str">
            <v>V</v>
          </cell>
          <cell r="J65">
            <v>529.49881645702078</v>
          </cell>
          <cell r="M65">
            <v>0</v>
          </cell>
        </row>
        <row r="66">
          <cell r="I66" t="str">
            <v>V</v>
          </cell>
          <cell r="J66">
            <v>495.64275585096016</v>
          </cell>
          <cell r="M66">
            <v>0</v>
          </cell>
        </row>
        <row r="67">
          <cell r="I67" t="str">
            <v>V</v>
          </cell>
          <cell r="J67">
            <v>464.43575000850535</v>
          </cell>
          <cell r="M67">
            <v>0</v>
          </cell>
        </row>
        <row r="68">
          <cell r="I68" t="str">
            <v>V</v>
          </cell>
          <cell r="J68">
            <v>400.14383810204248</v>
          </cell>
          <cell r="M68">
            <v>0</v>
          </cell>
        </row>
        <row r="69">
          <cell r="I69" t="str">
            <v>V</v>
          </cell>
          <cell r="J69">
            <v>514.44512015332452</v>
          </cell>
          <cell r="M69">
            <v>0</v>
          </cell>
        </row>
        <row r="70">
          <cell r="I70" t="str">
            <v>V</v>
          </cell>
          <cell r="J70">
            <v>575.80727554179566</v>
          </cell>
          <cell r="M70">
            <v>0</v>
          </cell>
        </row>
        <row r="71">
          <cell r="I71" t="str">
            <v>V</v>
          </cell>
          <cell r="J71">
            <v>31.710526315789483</v>
          </cell>
          <cell r="M71">
            <v>0</v>
          </cell>
        </row>
        <row r="72">
          <cell r="I72" t="str">
            <v>V</v>
          </cell>
          <cell r="J72">
            <v>96.586687306501588</v>
          </cell>
          <cell r="M72">
            <v>0</v>
          </cell>
        </row>
        <row r="73">
          <cell r="I73" t="str">
            <v>V</v>
          </cell>
          <cell r="J73">
            <v>83.034055727554176</v>
          </cell>
          <cell r="M73">
            <v>0</v>
          </cell>
        </row>
        <row r="74">
          <cell r="I74" t="str">
            <v>V</v>
          </cell>
          <cell r="J74">
            <v>83.034055727554218</v>
          </cell>
          <cell r="M74">
            <v>0</v>
          </cell>
        </row>
        <row r="75">
          <cell r="I75" t="str">
            <v>V</v>
          </cell>
          <cell r="J75">
            <v>83.034055727554147</v>
          </cell>
          <cell r="M75">
            <v>0</v>
          </cell>
        </row>
        <row r="76">
          <cell r="I76" t="str">
            <v>V</v>
          </cell>
          <cell r="J76">
            <v>44.969040247678031</v>
          </cell>
          <cell r="M76">
            <v>0</v>
          </cell>
        </row>
        <row r="77">
          <cell r="I77" t="str">
            <v>V</v>
          </cell>
          <cell r="J77">
            <v>24.210526315789419</v>
          </cell>
          <cell r="M77">
            <v>0</v>
          </cell>
        </row>
        <row r="78">
          <cell r="I78" t="str">
            <v>V</v>
          </cell>
          <cell r="J78">
            <v>24.210526315789483</v>
          </cell>
          <cell r="M78">
            <v>0</v>
          </cell>
        </row>
        <row r="79">
          <cell r="I79" t="str">
            <v>V</v>
          </cell>
          <cell r="J79">
            <v>30.263157894736874</v>
          </cell>
          <cell r="M79">
            <v>0</v>
          </cell>
        </row>
        <row r="80">
          <cell r="I80" t="str">
            <v>V</v>
          </cell>
          <cell r="J80">
            <v>24.210526315789483</v>
          </cell>
          <cell r="M80">
            <v>0</v>
          </cell>
        </row>
        <row r="81">
          <cell r="I81" t="str">
            <v>V</v>
          </cell>
          <cell r="J81">
            <v>30.263157894736811</v>
          </cell>
          <cell r="M81">
            <v>0</v>
          </cell>
        </row>
        <row r="82">
          <cell r="I82" t="str">
            <v>V</v>
          </cell>
          <cell r="J82">
            <v>24.21052631578949</v>
          </cell>
          <cell r="M82">
            <v>0</v>
          </cell>
        </row>
        <row r="83">
          <cell r="I83" t="str">
            <v>V</v>
          </cell>
          <cell r="J83">
            <v>24.210526315789419</v>
          </cell>
          <cell r="M83">
            <v>0</v>
          </cell>
        </row>
        <row r="84">
          <cell r="I84" t="str">
            <v>V</v>
          </cell>
          <cell r="J84">
            <v>30.263157894736931</v>
          </cell>
          <cell r="M84">
            <v>0</v>
          </cell>
        </row>
        <row r="85">
          <cell r="I85" t="str">
            <v>V</v>
          </cell>
          <cell r="J85">
            <v>24.210526315789416</v>
          </cell>
          <cell r="M85">
            <v>0</v>
          </cell>
        </row>
        <row r="86">
          <cell r="I86" t="str">
            <v>V</v>
          </cell>
          <cell r="J86">
            <v>24.21052631578949</v>
          </cell>
          <cell r="M86">
            <v>0</v>
          </cell>
        </row>
        <row r="87">
          <cell r="I87" t="str">
            <v>V</v>
          </cell>
          <cell r="J87">
            <v>0</v>
          </cell>
          <cell r="M87">
            <v>0</v>
          </cell>
        </row>
        <row r="88">
          <cell r="I88" t="str">
            <v>V</v>
          </cell>
          <cell r="J88">
            <v>0</v>
          </cell>
          <cell r="M88">
            <v>0</v>
          </cell>
        </row>
        <row r="89">
          <cell r="I89" t="str">
            <v>V</v>
          </cell>
          <cell r="M89">
            <v>0</v>
          </cell>
        </row>
        <row r="90">
          <cell r="I90" t="str">
            <v>W</v>
          </cell>
          <cell r="J90">
            <v>0</v>
          </cell>
          <cell r="M90">
            <v>0</v>
          </cell>
        </row>
        <row r="91">
          <cell r="I91" t="str">
            <v>W</v>
          </cell>
          <cell r="J91">
            <v>0</v>
          </cell>
          <cell r="M91">
            <v>0</v>
          </cell>
        </row>
        <row r="92">
          <cell r="I92" t="str">
            <v>W</v>
          </cell>
          <cell r="J92">
            <v>0</v>
          </cell>
        </row>
        <row r="93">
          <cell r="I93" t="str">
            <v>W</v>
          </cell>
          <cell r="J93">
            <v>29.676470588235293</v>
          </cell>
        </row>
        <row r="94">
          <cell r="I94" t="str">
            <v>W</v>
          </cell>
          <cell r="J94">
            <v>100.09940431868951</v>
          </cell>
        </row>
        <row r="95">
          <cell r="I95" t="str">
            <v>W</v>
          </cell>
          <cell r="J95">
            <v>66.449404318689503</v>
          </cell>
        </row>
        <row r="96">
          <cell r="I96" t="str">
            <v>W</v>
          </cell>
          <cell r="J96">
            <v>229.79698267108913</v>
          </cell>
        </row>
        <row r="97">
          <cell r="I97" t="str">
            <v>W</v>
          </cell>
          <cell r="J97">
            <v>146.99388483817</v>
          </cell>
        </row>
        <row r="98">
          <cell r="I98" t="str">
            <v>W</v>
          </cell>
          <cell r="J98">
            <v>422.76174198102717</v>
          </cell>
        </row>
        <row r="99">
          <cell r="I99" t="str">
            <v>W</v>
          </cell>
          <cell r="J99">
            <v>323.35026549937197</v>
          </cell>
          <cell r="M99">
            <v>0</v>
          </cell>
        </row>
        <row r="100">
          <cell r="I100" t="str">
            <v>W</v>
          </cell>
          <cell r="J100">
            <v>259.00463307685948</v>
          </cell>
          <cell r="M100">
            <v>0</v>
          </cell>
        </row>
        <row r="101">
          <cell r="I101" t="str">
            <v>W</v>
          </cell>
          <cell r="J101">
            <v>261.97964755522463</v>
          </cell>
          <cell r="M101">
            <v>0</v>
          </cell>
        </row>
        <row r="102">
          <cell r="I102" t="str">
            <v>W</v>
          </cell>
          <cell r="J102">
            <v>143.08960039712085</v>
          </cell>
          <cell r="M102">
            <v>0</v>
          </cell>
        </row>
        <row r="103">
          <cell r="I103" t="str">
            <v>W</v>
          </cell>
          <cell r="J103">
            <v>211.32489451476795</v>
          </cell>
          <cell r="M103">
            <v>0</v>
          </cell>
        </row>
        <row r="104">
          <cell r="I104" t="str">
            <v>W</v>
          </cell>
          <cell r="J104">
            <v>230.29548275006204</v>
          </cell>
          <cell r="M104">
            <v>0</v>
          </cell>
        </row>
        <row r="105">
          <cell r="I105" t="str">
            <v>W</v>
          </cell>
          <cell r="J105">
            <v>531.83258873169518</v>
          </cell>
          <cell r="M105">
            <v>0</v>
          </cell>
        </row>
        <row r="106">
          <cell r="I106" t="str">
            <v>W</v>
          </cell>
          <cell r="J106">
            <v>134.22685529908165</v>
          </cell>
          <cell r="M106">
            <v>0</v>
          </cell>
        </row>
        <row r="107">
          <cell r="I107" t="str">
            <v>W</v>
          </cell>
          <cell r="J107">
            <v>395.99156118143469</v>
          </cell>
          <cell r="M107">
            <v>0</v>
          </cell>
        </row>
        <row r="108">
          <cell r="I108" t="str">
            <v>W</v>
          </cell>
          <cell r="J108">
            <v>135.82278481012659</v>
          </cell>
        </row>
        <row r="109">
          <cell r="I109" t="str">
            <v>W</v>
          </cell>
          <cell r="J109">
            <v>12.658227848101252</v>
          </cell>
        </row>
        <row r="110">
          <cell r="I110" t="str">
            <v>W</v>
          </cell>
          <cell r="J110">
            <v>15.822784810126585</v>
          </cell>
        </row>
        <row r="111">
          <cell r="I111" t="str">
            <v>W</v>
          </cell>
          <cell r="J111">
            <v>12.658227848101278</v>
          </cell>
        </row>
        <row r="112">
          <cell r="I112" t="str">
            <v>W</v>
          </cell>
          <cell r="J112">
            <v>21.164556962025305</v>
          </cell>
        </row>
        <row r="113">
          <cell r="I113" t="str">
            <v>W</v>
          </cell>
          <cell r="J113">
            <v>90</v>
          </cell>
        </row>
        <row r="114">
          <cell r="I114" t="str">
            <v>W</v>
          </cell>
          <cell r="J114">
            <v>72</v>
          </cell>
        </row>
        <row r="115">
          <cell r="I115" t="str">
            <v>W</v>
          </cell>
          <cell r="J115">
            <v>0</v>
          </cell>
          <cell r="M115">
            <v>0</v>
          </cell>
        </row>
        <row r="116">
          <cell r="I116" t="str">
            <v>W</v>
          </cell>
          <cell r="J116">
            <v>0</v>
          </cell>
          <cell r="M116">
            <v>0</v>
          </cell>
        </row>
        <row r="117">
          <cell r="I117" t="str">
            <v>W</v>
          </cell>
          <cell r="J117">
            <v>0</v>
          </cell>
          <cell r="M117">
            <v>0</v>
          </cell>
        </row>
        <row r="118">
          <cell r="I118" t="str">
            <v>W</v>
          </cell>
          <cell r="M118">
            <v>0</v>
          </cell>
        </row>
        <row r="119">
          <cell r="I119" t="str">
            <v>S</v>
          </cell>
          <cell r="J119">
            <v>0</v>
          </cell>
          <cell r="M119">
            <v>0</v>
          </cell>
        </row>
        <row r="120">
          <cell r="I120" t="str">
            <v>S</v>
          </cell>
          <cell r="J120">
            <v>0</v>
          </cell>
          <cell r="M120">
            <v>0</v>
          </cell>
        </row>
        <row r="121">
          <cell r="I121" t="str">
            <v>S</v>
          </cell>
          <cell r="J121">
            <v>5</v>
          </cell>
          <cell r="M121">
            <v>0</v>
          </cell>
        </row>
        <row r="122">
          <cell r="I122" t="str">
            <v>S</v>
          </cell>
          <cell r="J122">
            <v>120.83333333333331</v>
          </cell>
          <cell r="M122">
            <v>0</v>
          </cell>
        </row>
        <row r="123">
          <cell r="I123" t="str">
            <v>S</v>
          </cell>
          <cell r="J123">
            <v>67.01666666666668</v>
          </cell>
          <cell r="M123">
            <v>0</v>
          </cell>
        </row>
        <row r="124">
          <cell r="I124" t="str">
            <v>S</v>
          </cell>
          <cell r="J124">
            <v>202.9</v>
          </cell>
        </row>
        <row r="125">
          <cell r="I125" t="str">
            <v>S</v>
          </cell>
          <cell r="J125">
            <v>283.28726708074532</v>
          </cell>
        </row>
        <row r="126">
          <cell r="I126" t="str">
            <v>S</v>
          </cell>
          <cell r="J126">
            <v>111.70019693985759</v>
          </cell>
        </row>
        <row r="127">
          <cell r="I127" t="str">
            <v>S</v>
          </cell>
          <cell r="J127">
            <v>193.22400646366714</v>
          </cell>
        </row>
        <row r="128">
          <cell r="I128" t="str">
            <v>S</v>
          </cell>
          <cell r="J128">
            <v>97.137150936726769</v>
          </cell>
        </row>
        <row r="129">
          <cell r="I129" t="str">
            <v>S</v>
          </cell>
          <cell r="J129">
            <v>98.509720749381401</v>
          </cell>
        </row>
        <row r="130">
          <cell r="I130" t="str">
            <v>S</v>
          </cell>
          <cell r="J130">
            <v>84.887150936726812</v>
          </cell>
        </row>
        <row r="131">
          <cell r="I131" t="str">
            <v>S</v>
          </cell>
          <cell r="J131">
            <v>82.759720749381401</v>
          </cell>
          <cell r="M131">
            <v>0</v>
          </cell>
        </row>
        <row r="132">
          <cell r="I132" t="str">
            <v>S</v>
          </cell>
          <cell r="J132">
            <v>62.509720749381394</v>
          </cell>
          <cell r="M132">
            <v>0</v>
          </cell>
        </row>
        <row r="133">
          <cell r="I133" t="str">
            <v>S</v>
          </cell>
          <cell r="J133">
            <v>110.5097207493814</v>
          </cell>
          <cell r="M133">
            <v>0</v>
          </cell>
        </row>
        <row r="134">
          <cell r="I134" t="str">
            <v>S</v>
          </cell>
          <cell r="J134">
            <v>138.13715093672681</v>
          </cell>
          <cell r="M134">
            <v>0</v>
          </cell>
        </row>
        <row r="135">
          <cell r="I135" t="str">
            <v>S</v>
          </cell>
          <cell r="J135">
            <v>73.631671968893585</v>
          </cell>
          <cell r="M135">
            <v>0</v>
          </cell>
        </row>
        <row r="136">
          <cell r="I136" t="str">
            <v>S</v>
          </cell>
          <cell r="J136">
            <v>60.753623188405783</v>
          </cell>
          <cell r="M136">
            <v>0</v>
          </cell>
        </row>
        <row r="137">
          <cell r="I137" t="str">
            <v>S</v>
          </cell>
          <cell r="J137">
            <v>39.942028985507235</v>
          </cell>
          <cell r="M137">
            <v>0</v>
          </cell>
        </row>
        <row r="138">
          <cell r="I138" t="str">
            <v>S</v>
          </cell>
          <cell r="J138">
            <v>12.753623188405834</v>
          </cell>
          <cell r="M138">
            <v>0</v>
          </cell>
        </row>
        <row r="139">
          <cell r="I139" t="str">
            <v>S</v>
          </cell>
          <cell r="J139">
            <v>15.942028985507244</v>
          </cell>
          <cell r="M139">
            <v>0</v>
          </cell>
        </row>
        <row r="140">
          <cell r="I140" t="str">
            <v>S</v>
          </cell>
          <cell r="J140">
            <v>9.5652173913043406</v>
          </cell>
        </row>
        <row r="141">
          <cell r="I141" t="str">
            <v>S</v>
          </cell>
          <cell r="J141">
            <v>0</v>
          </cell>
        </row>
        <row r="142">
          <cell r="I142" t="str">
            <v>S</v>
          </cell>
          <cell r="J142">
            <v>0</v>
          </cell>
        </row>
        <row r="143">
          <cell r="I143" t="str">
            <v>S</v>
          </cell>
          <cell r="J143">
            <v>0</v>
          </cell>
        </row>
        <row r="144">
          <cell r="I144" t="str">
            <v>S</v>
          </cell>
          <cell r="J144">
            <v>0</v>
          </cell>
        </row>
        <row r="145">
          <cell r="I145" t="str">
            <v>S</v>
          </cell>
          <cell r="J145">
            <v>0</v>
          </cell>
        </row>
        <row r="146">
          <cell r="I146" t="str">
            <v>S</v>
          </cell>
          <cell r="J146">
            <v>0</v>
          </cell>
        </row>
        <row r="147">
          <cell r="I147" t="str">
            <v>S</v>
          </cell>
          <cell r="M147">
            <v>0</v>
          </cell>
        </row>
        <row r="148">
          <cell r="I148" t="str">
            <v xml:space="preserve">C        </v>
          </cell>
          <cell r="J148">
            <v>0</v>
          </cell>
          <cell r="M148">
            <v>0</v>
          </cell>
        </row>
        <row r="149">
          <cell r="I149" t="str">
            <v xml:space="preserve">C        </v>
          </cell>
          <cell r="J149">
            <v>0</v>
          </cell>
          <cell r="M149">
            <v>0</v>
          </cell>
        </row>
        <row r="150">
          <cell r="I150" t="str">
            <v xml:space="preserve">C        </v>
          </cell>
          <cell r="J150">
            <v>305.60574393081788</v>
          </cell>
          <cell r="M150">
            <v>0</v>
          </cell>
        </row>
        <row r="151">
          <cell r="I151" t="str">
            <v xml:space="preserve">C        </v>
          </cell>
          <cell r="J151">
            <v>602.45584229982501</v>
          </cell>
          <cell r="M151">
            <v>0</v>
          </cell>
        </row>
        <row r="152">
          <cell r="I152" t="str">
            <v xml:space="preserve">C        </v>
          </cell>
          <cell r="J152">
            <v>315.58660024678647</v>
          </cell>
          <cell r="M152">
            <v>0</v>
          </cell>
        </row>
        <row r="153">
          <cell r="I153" t="str">
            <v xml:space="preserve">C        </v>
          </cell>
          <cell r="J153">
            <v>233.01138379657013</v>
          </cell>
          <cell r="M153">
            <v>0</v>
          </cell>
        </row>
        <row r="154">
          <cell r="I154" t="str">
            <v xml:space="preserve">C        </v>
          </cell>
          <cell r="J154">
            <v>536.92164953180895</v>
          </cell>
          <cell r="M154">
            <v>0</v>
          </cell>
        </row>
        <row r="155">
          <cell r="I155" t="str">
            <v xml:space="preserve">C        </v>
          </cell>
          <cell r="J155">
            <v>487.59243979263624</v>
          </cell>
          <cell r="M155">
            <v>0</v>
          </cell>
        </row>
        <row r="156">
          <cell r="I156" t="str">
            <v xml:space="preserve">C        </v>
          </cell>
          <cell r="J156">
            <v>743.94201378246976</v>
          </cell>
        </row>
        <row r="157">
          <cell r="I157" t="str">
            <v xml:space="preserve">C        </v>
          </cell>
          <cell r="J157">
            <v>572.07290716640682</v>
          </cell>
        </row>
        <row r="158">
          <cell r="I158" t="str">
            <v xml:space="preserve">C        </v>
          </cell>
          <cell r="J158">
            <v>539.23166169401031</v>
          </cell>
        </row>
        <row r="159">
          <cell r="I159" t="str">
            <v xml:space="preserve">C        </v>
          </cell>
          <cell r="J159">
            <v>614.46568844843353</v>
          </cell>
        </row>
        <row r="160">
          <cell r="I160" t="str">
            <v xml:space="preserve">C        </v>
          </cell>
          <cell r="J160">
            <v>299.95215900517877</v>
          </cell>
        </row>
        <row r="161">
          <cell r="I161" t="str">
            <v xml:space="preserve">C        </v>
          </cell>
          <cell r="J161">
            <v>122.08552923509504</v>
          </cell>
        </row>
        <row r="162">
          <cell r="I162" t="str">
            <v xml:space="preserve">C        </v>
          </cell>
          <cell r="J162">
            <v>54.314936128489038</v>
          </cell>
        </row>
        <row r="163">
          <cell r="I163" t="str">
            <v xml:space="preserve">C        </v>
          </cell>
          <cell r="J163">
            <v>41.840096626865403</v>
          </cell>
          <cell r="M163">
            <v>0</v>
          </cell>
        </row>
        <row r="164">
          <cell r="I164" t="str">
            <v xml:space="preserve">C        </v>
          </cell>
          <cell r="J164">
            <v>22.471910112359545</v>
          </cell>
          <cell r="M164">
            <v>0</v>
          </cell>
        </row>
        <row r="165">
          <cell r="I165" t="str">
            <v xml:space="preserve">C        </v>
          </cell>
          <cell r="J165">
            <v>22.471910112359542</v>
          </cell>
          <cell r="M165">
            <v>0</v>
          </cell>
        </row>
        <row r="166">
          <cell r="I166" t="str">
            <v xml:space="preserve">C        </v>
          </cell>
          <cell r="J166">
            <v>28.089887640449398</v>
          </cell>
          <cell r="M166">
            <v>0</v>
          </cell>
        </row>
        <row r="167">
          <cell r="I167" t="str">
            <v xml:space="preserve">C        </v>
          </cell>
          <cell r="J167">
            <v>22.471910112359559</v>
          </cell>
          <cell r="M167">
            <v>0</v>
          </cell>
        </row>
        <row r="168">
          <cell r="I168" t="str">
            <v xml:space="preserve">C        </v>
          </cell>
          <cell r="J168">
            <v>28.089887640449454</v>
          </cell>
          <cell r="M168">
            <v>0</v>
          </cell>
        </row>
        <row r="169">
          <cell r="I169" t="str">
            <v xml:space="preserve">C        </v>
          </cell>
          <cell r="J169">
            <v>22.471910112359545</v>
          </cell>
          <cell r="M169">
            <v>0</v>
          </cell>
        </row>
        <row r="170">
          <cell r="I170" t="str">
            <v xml:space="preserve">C        </v>
          </cell>
          <cell r="J170">
            <v>16.85393258426965</v>
          </cell>
          <cell r="M170">
            <v>0</v>
          </cell>
        </row>
        <row r="171">
          <cell r="I171" t="str">
            <v xml:space="preserve">C        </v>
          </cell>
          <cell r="J171">
            <v>38.46153846153846</v>
          </cell>
          <cell r="M171">
            <v>0</v>
          </cell>
        </row>
        <row r="172">
          <cell r="I172" t="str">
            <v xml:space="preserve">C        </v>
          </cell>
          <cell r="J172">
            <v>30.76923076923077</v>
          </cell>
        </row>
        <row r="173">
          <cell r="I173" t="str">
            <v xml:space="preserve">C        </v>
          </cell>
          <cell r="J173">
            <v>30.76923076923077</v>
          </cell>
        </row>
        <row r="174">
          <cell r="I174" t="str">
            <v xml:space="preserve">C        </v>
          </cell>
          <cell r="J174">
            <v>0</v>
          </cell>
        </row>
        <row r="175">
          <cell r="I175" t="str">
            <v xml:space="preserve">C        </v>
          </cell>
          <cell r="J175">
            <v>0</v>
          </cell>
        </row>
        <row r="176">
          <cell r="I176" t="str">
            <v xml:space="preserve">C        </v>
          </cell>
        </row>
        <row r="177">
          <cell r="I177" t="str">
            <v>G</v>
          </cell>
          <cell r="J177">
            <v>0</v>
          </cell>
        </row>
        <row r="178">
          <cell r="I178" t="str">
            <v>G</v>
          </cell>
          <cell r="J178">
            <v>0</v>
          </cell>
        </row>
      </sheetData>
      <sheetData sheetId="4"/>
      <sheetData sheetId="5"/>
      <sheetData sheetId="6">
        <row r="2">
          <cell r="P2" t="str">
            <v>Comm. TCM</v>
          </cell>
          <cell r="Q2" t="str">
            <v>:</v>
          </cell>
          <cell r="R2">
            <v>2993.09</v>
          </cell>
          <cell r="S2" t="str">
            <v xml:space="preserve"> </v>
          </cell>
        </row>
        <row r="3">
          <cell r="F3" t="str">
            <v>CENTRALE TERMOELETTRICA</v>
          </cell>
          <cell r="P3" t="str">
            <v>Aggiorn.</v>
          </cell>
          <cell r="Q3" t="str">
            <v>:</v>
          </cell>
          <cell r="R3" t="str">
            <v>Febbraio 2000</v>
          </cell>
          <cell r="S3" t="str">
            <v xml:space="preserve">Sh 11 </v>
          </cell>
        </row>
        <row r="4">
          <cell r="F4" t="str">
            <v>CURVA DI CONTROLLO DELL' AVANZAMENTO</v>
          </cell>
          <cell r="P4" t="str">
            <v>Emesso</v>
          </cell>
          <cell r="Q4" t="str">
            <v>:</v>
          </cell>
          <cell r="R4" t="str">
            <v>PROGR/</v>
          </cell>
        </row>
        <row r="6">
          <cell r="F6" t="str">
            <v>Docum. No.:</v>
          </cell>
          <cell r="G6" t="str">
            <v xml:space="preserve"> 2993 PZ RP B01</v>
          </cell>
          <cell r="M6" t="str">
            <v xml:space="preserve"> Cliente :</v>
          </cell>
          <cell r="N6" t="str">
            <v>EDISON</v>
          </cell>
          <cell r="P6" t="str">
            <v>Localita`</v>
          </cell>
          <cell r="Q6" t="str">
            <v>:</v>
          </cell>
          <cell r="R6" t="str">
            <v>MARGHERA LEVANTE</v>
          </cell>
        </row>
        <row r="8">
          <cell r="C8" t="str">
            <v>AVANZAMENTO (%)</v>
          </cell>
        </row>
        <row r="9">
          <cell r="B9" t="str">
            <v>Mese/</v>
          </cell>
          <cell r="C9" t="str">
            <v>PROGRAMMATO</v>
          </cell>
          <cell r="E9" t="str">
            <v>EFFETTIVO</v>
          </cell>
        </row>
        <row r="10">
          <cell r="B10" t="str">
            <v>Anno</v>
          </cell>
          <cell r="C10" t="str">
            <v>al piu` presto</v>
          </cell>
          <cell r="D10" t="str">
            <v>al piu` tardi</v>
          </cell>
        </row>
        <row r="12">
          <cell r="B12">
            <v>36897</v>
          </cell>
          <cell r="C12">
            <v>0</v>
          </cell>
          <cell r="D12">
            <v>0</v>
          </cell>
          <cell r="E12">
            <v>0</v>
          </cell>
        </row>
        <row r="13">
          <cell r="B13">
            <v>36928</v>
          </cell>
          <cell r="C13">
            <v>0</v>
          </cell>
          <cell r="D13">
            <v>0</v>
          </cell>
          <cell r="E13">
            <v>0</v>
          </cell>
        </row>
        <row r="14">
          <cell r="B14">
            <v>36956</v>
          </cell>
          <cell r="C14">
            <v>1.435110188195132</v>
          </cell>
          <cell r="D14">
            <v>0</v>
          </cell>
          <cell r="E14">
            <v>1.4</v>
          </cell>
        </row>
        <row r="15">
          <cell r="B15">
            <v>36987</v>
          </cell>
          <cell r="C15">
            <v>3.8171866415269791</v>
          </cell>
          <cell r="D15">
            <v>0</v>
          </cell>
          <cell r="E15">
            <v>0</v>
          </cell>
        </row>
        <row r="16">
          <cell r="B16">
            <v>37017</v>
          </cell>
          <cell r="C16">
            <v>5.7228478041924591</v>
          </cell>
          <cell r="D16">
            <v>0</v>
          </cell>
          <cell r="E16">
            <v>0</v>
          </cell>
        </row>
        <row r="17">
          <cell r="B17">
            <v>37048</v>
          </cell>
          <cell r="C17">
            <v>8.4091880986008984</v>
          </cell>
          <cell r="D17">
            <v>0</v>
          </cell>
          <cell r="E17">
            <v>0</v>
          </cell>
        </row>
        <row r="18">
          <cell r="B18">
            <v>37078</v>
          </cell>
          <cell r="C18">
            <v>12.609206004532659</v>
          </cell>
          <cell r="D18">
            <v>0</v>
          </cell>
          <cell r="E18">
            <v>0</v>
          </cell>
        </row>
        <row r="19">
          <cell r="B19">
            <v>37109</v>
          </cell>
          <cell r="C19">
            <v>16.236733082793052</v>
          </cell>
          <cell r="D19">
            <v>0</v>
          </cell>
          <cell r="E19">
            <v>0</v>
          </cell>
        </row>
        <row r="20">
          <cell r="B20">
            <v>37140</v>
          </cell>
          <cell r="C20">
            <v>20.78302225002831</v>
          </cell>
          <cell r="D20">
            <v>0</v>
          </cell>
          <cell r="E20">
            <v>0</v>
          </cell>
        </row>
        <row r="21">
          <cell r="B21">
            <v>37170</v>
          </cell>
          <cell r="C21">
            <v>26.232262502606822</v>
          </cell>
          <cell r="D21">
            <v>0</v>
          </cell>
          <cell r="E21">
            <v>0</v>
          </cell>
        </row>
        <row r="22">
          <cell r="B22">
            <v>37201</v>
          </cell>
          <cell r="C22">
            <v>30.75960520632675</v>
          </cell>
          <cell r="D22">
            <v>0</v>
          </cell>
          <cell r="E22">
            <v>0</v>
          </cell>
        </row>
        <row r="23">
          <cell r="B23">
            <v>37231</v>
          </cell>
          <cell r="C23">
            <v>36.496605477908275</v>
          </cell>
          <cell r="D23">
            <v>0</v>
          </cell>
          <cell r="E23">
            <v>0</v>
          </cell>
        </row>
        <row r="24">
          <cell r="B24">
            <v>37262</v>
          </cell>
          <cell r="C24">
            <v>41.802167100944544</v>
          </cell>
          <cell r="D24">
            <v>0</v>
          </cell>
          <cell r="E24">
            <v>0</v>
          </cell>
        </row>
        <row r="25">
          <cell r="B25">
            <v>37293</v>
          </cell>
          <cell r="C25">
            <v>47.406347611625456</v>
          </cell>
          <cell r="D25">
            <v>0</v>
          </cell>
          <cell r="E25">
            <v>0</v>
          </cell>
        </row>
        <row r="26">
          <cell r="B26">
            <v>37321</v>
          </cell>
          <cell r="C26">
            <v>52.861218678484036</v>
          </cell>
          <cell r="D26">
            <v>0</v>
          </cell>
          <cell r="E26">
            <v>0</v>
          </cell>
        </row>
        <row r="27">
          <cell r="B27">
            <v>37352</v>
          </cell>
          <cell r="C27">
            <v>59.941099038746323</v>
          </cell>
          <cell r="D27">
            <v>0</v>
          </cell>
          <cell r="E27">
            <v>0</v>
          </cell>
        </row>
      </sheetData>
      <sheetData sheetId="7">
        <row r="3">
          <cell r="H3" t="str">
            <v>TE</v>
          </cell>
          <cell r="K3">
            <v>0</v>
          </cell>
        </row>
        <row r="4">
          <cell r="H4" t="str">
            <v>TE</v>
          </cell>
          <cell r="K4">
            <v>1</v>
          </cell>
        </row>
        <row r="5">
          <cell r="H5" t="str">
            <v>TE</v>
          </cell>
          <cell r="K5">
            <v>4.5</v>
          </cell>
        </row>
        <row r="6">
          <cell r="H6" t="str">
            <v>TE</v>
          </cell>
          <cell r="I6">
            <v>1.3</v>
          </cell>
          <cell r="J6">
            <v>1.2</v>
          </cell>
          <cell r="K6">
            <v>9.4</v>
          </cell>
        </row>
        <row r="7">
          <cell r="H7" t="str">
            <v>TE</v>
          </cell>
          <cell r="I7">
            <v>1</v>
          </cell>
          <cell r="J7">
            <v>1.1000000000000001</v>
          </cell>
          <cell r="K7">
            <v>17.3</v>
          </cell>
        </row>
        <row r="8">
          <cell r="H8" t="str">
            <v>TE</v>
          </cell>
          <cell r="I8">
            <v>1.3</v>
          </cell>
          <cell r="J8">
            <v>1</v>
          </cell>
          <cell r="K8">
            <v>23.7</v>
          </cell>
        </row>
        <row r="9">
          <cell r="H9" t="str">
            <v>TE</v>
          </cell>
          <cell r="I9">
            <v>1.2</v>
          </cell>
          <cell r="J9">
            <v>1</v>
          </cell>
          <cell r="K9">
            <v>32</v>
          </cell>
        </row>
        <row r="10">
          <cell r="H10" t="str">
            <v>TE</v>
          </cell>
          <cell r="I10">
            <v>1.6</v>
          </cell>
          <cell r="J10">
            <v>1</v>
          </cell>
          <cell r="K10">
            <v>40.700000000000003</v>
          </cell>
        </row>
        <row r="11">
          <cell r="H11" t="str">
            <v>TE</v>
          </cell>
          <cell r="I11">
            <v>1.9</v>
          </cell>
          <cell r="J11">
            <v>1.1000000000000001</v>
          </cell>
          <cell r="K11">
            <v>50.4</v>
          </cell>
        </row>
        <row r="12">
          <cell r="H12" t="str">
            <v>TE</v>
          </cell>
          <cell r="I12">
            <v>2</v>
          </cell>
          <cell r="J12">
            <v>1.2</v>
          </cell>
          <cell r="K12">
            <v>58.5</v>
          </cell>
        </row>
        <row r="13">
          <cell r="H13" t="str">
            <v>TE</v>
          </cell>
          <cell r="I13">
            <v>1.8</v>
          </cell>
          <cell r="J13">
            <v>1.2</v>
          </cell>
          <cell r="K13">
            <v>66.099999999999994</v>
          </cell>
        </row>
        <row r="14">
          <cell r="H14" t="str">
            <v>TE</v>
          </cell>
          <cell r="I14">
            <v>1.7</v>
          </cell>
          <cell r="J14">
            <v>1.2</v>
          </cell>
          <cell r="K14">
            <v>74.900000000000006</v>
          </cell>
        </row>
        <row r="15">
          <cell r="H15" t="str">
            <v>TE</v>
          </cell>
          <cell r="I15">
            <v>1.7</v>
          </cell>
          <cell r="J15">
            <v>1.3</v>
          </cell>
          <cell r="K15">
            <v>82.4</v>
          </cell>
        </row>
        <row r="16">
          <cell r="H16" t="str">
            <v>TE</v>
          </cell>
          <cell r="I16">
            <v>0.8</v>
          </cell>
          <cell r="J16">
            <v>1.2</v>
          </cell>
          <cell r="K16">
            <v>76.099999999999994</v>
          </cell>
        </row>
        <row r="17">
          <cell r="H17" t="str">
            <v>TE</v>
          </cell>
          <cell r="I17">
            <v>1.4</v>
          </cell>
          <cell r="J17">
            <v>1.2</v>
          </cell>
          <cell r="K17">
            <v>81.5</v>
          </cell>
        </row>
        <row r="18">
          <cell r="H18" t="str">
            <v>TE</v>
          </cell>
          <cell r="I18">
            <v>1.5</v>
          </cell>
          <cell r="J18">
            <v>1.2</v>
          </cell>
          <cell r="K18">
            <v>86</v>
          </cell>
        </row>
        <row r="19">
          <cell r="H19" t="str">
            <v>TE</v>
          </cell>
          <cell r="I19">
            <v>0.96046128500823724</v>
          </cell>
          <cell r="J19">
            <v>0.78166889073225843</v>
          </cell>
          <cell r="K19">
            <v>42.547826086956526</v>
          </cell>
        </row>
        <row r="20">
          <cell r="H20" t="str">
            <v>TE</v>
          </cell>
        </row>
        <row r="21">
          <cell r="H21" t="str">
            <v>TE</v>
          </cell>
        </row>
        <row r="22">
          <cell r="H22" t="str">
            <v>TE</v>
          </cell>
        </row>
        <row r="23">
          <cell r="H23" t="str">
            <v>TE</v>
          </cell>
        </row>
        <row r="24">
          <cell r="H24" t="str">
            <v>TE</v>
          </cell>
        </row>
        <row r="25">
          <cell r="H25" t="str">
            <v>TE</v>
          </cell>
        </row>
        <row r="26">
          <cell r="H26" t="str">
            <v>TE</v>
          </cell>
        </row>
        <row r="27">
          <cell r="H27" t="str">
            <v>TE</v>
          </cell>
        </row>
        <row r="28">
          <cell r="H28" t="str">
            <v>TE</v>
          </cell>
        </row>
        <row r="29">
          <cell r="H29" t="str">
            <v>TE</v>
          </cell>
        </row>
        <row r="30">
          <cell r="H30" t="str">
            <v>A</v>
          </cell>
          <cell r="K30">
            <v>0</v>
          </cell>
        </row>
        <row r="31">
          <cell r="H31" t="str">
            <v>A</v>
          </cell>
          <cell r="K31">
            <v>0.3</v>
          </cell>
        </row>
        <row r="32">
          <cell r="H32" t="str">
            <v>A</v>
          </cell>
          <cell r="K32">
            <v>2.7</v>
          </cell>
        </row>
        <row r="33">
          <cell r="H33" t="str">
            <v>A</v>
          </cell>
          <cell r="I33">
            <v>2</v>
          </cell>
          <cell r="J33">
            <v>1.5</v>
          </cell>
          <cell r="K33">
            <v>4.9000000000000004</v>
          </cell>
        </row>
        <row r="34">
          <cell r="H34" t="str">
            <v>A</v>
          </cell>
          <cell r="I34">
            <v>0.7</v>
          </cell>
          <cell r="J34">
            <v>1</v>
          </cell>
          <cell r="K34">
            <v>11.7</v>
          </cell>
        </row>
        <row r="35">
          <cell r="H35" t="str">
            <v>A</v>
          </cell>
          <cell r="I35">
            <v>0.6</v>
          </cell>
          <cell r="J35">
            <v>0.9</v>
          </cell>
          <cell r="K35">
            <v>19.399999999999999</v>
          </cell>
        </row>
        <row r="36">
          <cell r="H36" t="str">
            <v>A</v>
          </cell>
          <cell r="I36">
            <v>0.4</v>
          </cell>
          <cell r="J36">
            <v>0.7</v>
          </cell>
          <cell r="K36">
            <v>33.9</v>
          </cell>
        </row>
        <row r="37">
          <cell r="H37" t="str">
            <v>A</v>
          </cell>
          <cell r="I37">
            <v>2.2000000000000002</v>
          </cell>
          <cell r="J37">
            <v>1</v>
          </cell>
          <cell r="K37">
            <v>43.6</v>
          </cell>
        </row>
        <row r="38">
          <cell r="H38" t="str">
            <v>A</v>
          </cell>
          <cell r="I38">
            <v>1.9</v>
          </cell>
          <cell r="J38">
            <v>1.2</v>
          </cell>
          <cell r="K38">
            <v>57.6</v>
          </cell>
        </row>
        <row r="39">
          <cell r="H39" t="str">
            <v>A</v>
          </cell>
          <cell r="I39">
            <v>1.9</v>
          </cell>
          <cell r="J39">
            <v>1.3</v>
          </cell>
          <cell r="K39">
            <v>67.7</v>
          </cell>
        </row>
        <row r="40">
          <cell r="H40" t="str">
            <v>A</v>
          </cell>
          <cell r="I40">
            <v>1</v>
          </cell>
          <cell r="J40">
            <v>1.3</v>
          </cell>
          <cell r="K40">
            <v>76.5</v>
          </cell>
        </row>
        <row r="41">
          <cell r="H41" t="str">
            <v>A</v>
          </cell>
          <cell r="I41">
            <v>1.6</v>
          </cell>
          <cell r="J41">
            <v>1.3</v>
          </cell>
          <cell r="K41">
            <v>83.5</v>
          </cell>
        </row>
        <row r="42">
          <cell r="H42" t="str">
            <v>A</v>
          </cell>
          <cell r="I42">
            <v>2.1</v>
          </cell>
          <cell r="J42">
            <v>1.4</v>
          </cell>
          <cell r="K42">
            <v>88.5</v>
          </cell>
        </row>
        <row r="43">
          <cell r="H43" t="str">
            <v>A</v>
          </cell>
          <cell r="I43">
            <v>0.4</v>
          </cell>
          <cell r="J43">
            <v>1.2</v>
          </cell>
          <cell r="K43">
            <v>87.1</v>
          </cell>
        </row>
        <row r="44">
          <cell r="H44" t="str">
            <v>A</v>
          </cell>
          <cell r="I44">
            <v>2</v>
          </cell>
          <cell r="J44">
            <v>1.2</v>
          </cell>
          <cell r="K44">
            <v>90.4</v>
          </cell>
        </row>
        <row r="45">
          <cell r="H45" t="str">
            <v>A</v>
          </cell>
          <cell r="I45">
            <v>0.94230769230769174</v>
          </cell>
          <cell r="J45">
            <v>0.71482778750729714</v>
          </cell>
          <cell r="K45">
            <v>57.1</v>
          </cell>
        </row>
        <row r="46">
          <cell r="H46" t="str">
            <v>A</v>
          </cell>
        </row>
        <row r="47">
          <cell r="H47" t="str">
            <v>A</v>
          </cell>
        </row>
        <row r="48">
          <cell r="H48" t="str">
            <v>A</v>
          </cell>
        </row>
        <row r="49">
          <cell r="H49" t="str">
            <v>A</v>
          </cell>
        </row>
        <row r="50">
          <cell r="H50" t="str">
            <v>A</v>
          </cell>
        </row>
        <row r="51">
          <cell r="H51" t="str">
            <v>A</v>
          </cell>
        </row>
        <row r="52">
          <cell r="H52" t="str">
            <v>A</v>
          </cell>
        </row>
        <row r="57">
          <cell r="H57" t="str">
            <v xml:space="preserve">C        </v>
          </cell>
          <cell r="K57">
            <v>0</v>
          </cell>
        </row>
        <row r="58">
          <cell r="H58" t="str">
            <v xml:space="preserve">C        </v>
          </cell>
          <cell r="K58">
            <v>0.1</v>
          </cell>
        </row>
        <row r="59">
          <cell r="H59" t="str">
            <v xml:space="preserve">C        </v>
          </cell>
          <cell r="K59">
            <v>5.5</v>
          </cell>
        </row>
        <row r="60">
          <cell r="H60" t="str">
            <v xml:space="preserve">C        </v>
          </cell>
          <cell r="I60">
            <v>1.2</v>
          </cell>
          <cell r="J60">
            <v>1.4</v>
          </cell>
          <cell r="K60">
            <v>14.7</v>
          </cell>
        </row>
        <row r="61">
          <cell r="H61" t="str">
            <v xml:space="preserve">C        </v>
          </cell>
          <cell r="I61">
            <v>1</v>
          </cell>
          <cell r="J61">
            <v>1.2</v>
          </cell>
          <cell r="K61">
            <v>29.1</v>
          </cell>
        </row>
        <row r="62">
          <cell r="H62" t="str">
            <v xml:space="preserve">C        </v>
          </cell>
          <cell r="I62">
            <v>1.7</v>
          </cell>
          <cell r="J62">
            <v>1.2</v>
          </cell>
          <cell r="K62">
            <v>33.700000000000003</v>
          </cell>
        </row>
        <row r="63">
          <cell r="H63" t="str">
            <v xml:space="preserve">C        </v>
          </cell>
          <cell r="I63">
            <v>1.7</v>
          </cell>
          <cell r="J63">
            <v>1.3</v>
          </cell>
          <cell r="K63">
            <v>37.9</v>
          </cell>
        </row>
        <row r="64">
          <cell r="H64" t="str">
            <v xml:space="preserve">C        </v>
          </cell>
          <cell r="I64">
            <v>1.5</v>
          </cell>
          <cell r="J64">
            <v>1.3</v>
          </cell>
          <cell r="K64">
            <v>44.3</v>
          </cell>
        </row>
        <row r="65">
          <cell r="H65" t="str">
            <v xml:space="preserve">C        </v>
          </cell>
          <cell r="I65">
            <v>1.4</v>
          </cell>
          <cell r="J65">
            <v>1.3</v>
          </cell>
          <cell r="K65">
            <v>53.6</v>
          </cell>
        </row>
        <row r="66">
          <cell r="H66" t="str">
            <v xml:space="preserve">C        </v>
          </cell>
          <cell r="I66">
            <v>1</v>
          </cell>
          <cell r="J66">
            <v>1.3</v>
          </cell>
          <cell r="K66">
            <v>63.1</v>
          </cell>
        </row>
        <row r="67">
          <cell r="H67" t="str">
            <v xml:space="preserve">C        </v>
          </cell>
          <cell r="I67">
            <v>0.9</v>
          </cell>
          <cell r="J67">
            <v>1.2</v>
          </cell>
          <cell r="K67">
            <v>76</v>
          </cell>
        </row>
        <row r="68">
          <cell r="H68" t="str">
            <v xml:space="preserve">C        </v>
          </cell>
          <cell r="I68">
            <v>1.3</v>
          </cell>
          <cell r="J68">
            <v>1.2</v>
          </cell>
          <cell r="K68">
            <v>87.8</v>
          </cell>
        </row>
        <row r="69">
          <cell r="H69" t="str">
            <v xml:space="preserve">C        </v>
          </cell>
          <cell r="I69">
            <v>3.3</v>
          </cell>
          <cell r="J69">
            <v>1.3</v>
          </cell>
          <cell r="K69">
            <v>91.3</v>
          </cell>
        </row>
        <row r="70">
          <cell r="H70" t="str">
            <v xml:space="preserve">C        </v>
          </cell>
          <cell r="I70">
            <v>0.7</v>
          </cell>
          <cell r="J70">
            <v>1.2</v>
          </cell>
          <cell r="K70">
            <v>81.400000000000006</v>
          </cell>
        </row>
        <row r="71">
          <cell r="H71" t="str">
            <v xml:space="preserve">C        </v>
          </cell>
          <cell r="I71">
            <v>1.1000000000000001</v>
          </cell>
          <cell r="J71">
            <v>1.2</v>
          </cell>
          <cell r="K71">
            <v>87.5</v>
          </cell>
        </row>
        <row r="72">
          <cell r="H72" t="str">
            <v xml:space="preserve">C        </v>
          </cell>
          <cell r="I72">
            <v>0</v>
          </cell>
          <cell r="J72">
            <v>1.2545454545454546</v>
          </cell>
          <cell r="K72">
            <v>55</v>
          </cell>
        </row>
        <row r="73">
          <cell r="H73" t="str">
            <v xml:space="preserve">C        </v>
          </cell>
        </row>
        <row r="74">
          <cell r="H74" t="str">
            <v xml:space="preserve">C        </v>
          </cell>
        </row>
        <row r="75">
          <cell r="H75" t="str">
            <v>C</v>
          </cell>
        </row>
        <row r="76">
          <cell r="H76" t="str">
            <v>C</v>
          </cell>
        </row>
        <row r="77">
          <cell r="H77" t="str">
            <v>C</v>
          </cell>
        </row>
        <row r="78">
          <cell r="H78" t="str">
            <v>C</v>
          </cell>
        </row>
        <row r="84">
          <cell r="H84" t="str">
            <v>G</v>
          </cell>
          <cell r="K84">
            <v>0</v>
          </cell>
        </row>
        <row r="85">
          <cell r="H85" t="str">
            <v>G</v>
          </cell>
          <cell r="K85">
            <v>0.5</v>
          </cell>
        </row>
        <row r="86">
          <cell r="H86" t="str">
            <v>G</v>
          </cell>
          <cell r="K86">
            <v>3.1</v>
          </cell>
        </row>
        <row r="87">
          <cell r="H87" t="str">
            <v>G</v>
          </cell>
          <cell r="I87">
            <v>1.5</v>
          </cell>
          <cell r="J87">
            <v>1.2</v>
          </cell>
          <cell r="K87">
            <v>7.7</v>
          </cell>
        </row>
        <row r="88">
          <cell r="H88" t="str">
            <v>G</v>
          </cell>
          <cell r="I88">
            <v>0.9</v>
          </cell>
          <cell r="J88">
            <v>1</v>
          </cell>
          <cell r="K88">
            <v>16.399999999999999</v>
          </cell>
        </row>
        <row r="89">
          <cell r="H89" t="str">
            <v>G</v>
          </cell>
          <cell r="I89">
            <v>0.9</v>
          </cell>
          <cell r="J89">
            <v>1</v>
          </cell>
          <cell r="K89">
            <v>26.1</v>
          </cell>
        </row>
        <row r="90">
          <cell r="H90" t="str">
            <v>G</v>
          </cell>
          <cell r="I90">
            <v>2.1</v>
          </cell>
          <cell r="J90">
            <v>1.2</v>
          </cell>
          <cell r="K90">
            <v>31.5</v>
          </cell>
        </row>
        <row r="91">
          <cell r="H91" t="str">
            <v>G</v>
          </cell>
          <cell r="I91">
            <v>1.5</v>
          </cell>
          <cell r="J91">
            <v>1.2</v>
          </cell>
          <cell r="K91">
            <v>40.200000000000003</v>
          </cell>
        </row>
        <row r="92">
          <cell r="H92" t="str">
            <v>G</v>
          </cell>
          <cell r="I92">
            <v>1.5</v>
          </cell>
          <cell r="J92">
            <v>1.3</v>
          </cell>
          <cell r="K92">
            <v>48.4</v>
          </cell>
        </row>
        <row r="93">
          <cell r="H93" t="str">
            <v>G</v>
          </cell>
          <cell r="I93">
            <v>1.6</v>
          </cell>
          <cell r="J93">
            <v>1.3</v>
          </cell>
          <cell r="K93">
            <v>56.7</v>
          </cell>
        </row>
        <row r="94">
          <cell r="H94" t="str">
            <v>G</v>
          </cell>
          <cell r="I94">
            <v>1.6</v>
          </cell>
          <cell r="J94">
            <v>1.4</v>
          </cell>
          <cell r="K94">
            <v>63.5</v>
          </cell>
        </row>
        <row r="95">
          <cell r="H95" t="str">
            <v>G</v>
          </cell>
          <cell r="I95">
            <v>1.5</v>
          </cell>
          <cell r="J95">
            <v>1.4</v>
          </cell>
          <cell r="K95">
            <v>71.8</v>
          </cell>
        </row>
        <row r="96">
          <cell r="H96" t="str">
            <v>G</v>
          </cell>
          <cell r="I96">
            <v>1.5</v>
          </cell>
          <cell r="J96">
            <v>1.4</v>
          </cell>
          <cell r="K96">
            <v>78.8</v>
          </cell>
        </row>
        <row r="97">
          <cell r="H97" t="str">
            <v>G</v>
          </cell>
          <cell r="I97">
            <v>0.9</v>
          </cell>
          <cell r="J97">
            <v>1.3</v>
          </cell>
          <cell r="K97">
            <v>70.2</v>
          </cell>
        </row>
        <row r="98">
          <cell r="H98" t="str">
            <v>G</v>
          </cell>
          <cell r="I98">
            <v>1.8</v>
          </cell>
          <cell r="J98">
            <v>1.4</v>
          </cell>
          <cell r="K98">
            <v>75.900000000000006</v>
          </cell>
        </row>
        <row r="99">
          <cell r="H99" t="str">
            <v>G</v>
          </cell>
          <cell r="I99">
            <v>1.75</v>
          </cell>
          <cell r="J99">
            <v>1.2987804878048781</v>
          </cell>
          <cell r="K99">
            <v>82</v>
          </cell>
        </row>
        <row r="100">
          <cell r="H100" t="str">
            <v>G</v>
          </cell>
        </row>
        <row r="101">
          <cell r="H101" t="str">
            <v>G</v>
          </cell>
        </row>
        <row r="102">
          <cell r="H102" t="str">
            <v>G</v>
          </cell>
        </row>
        <row r="103">
          <cell r="H103" t="str">
            <v>G</v>
          </cell>
        </row>
        <row r="104">
          <cell r="H104" t="str">
            <v>G</v>
          </cell>
        </row>
        <row r="105">
          <cell r="H105" t="str">
            <v>G</v>
          </cell>
        </row>
        <row r="111">
          <cell r="H111" t="str">
            <v>K</v>
          </cell>
          <cell r="K111">
            <v>0</v>
          </cell>
        </row>
        <row r="112">
          <cell r="H112" t="str">
            <v>K</v>
          </cell>
          <cell r="K112">
            <v>0.3</v>
          </cell>
        </row>
        <row r="113">
          <cell r="H113" t="str">
            <v>K</v>
          </cell>
          <cell r="K113">
            <v>0.9</v>
          </cell>
        </row>
        <row r="114">
          <cell r="H114" t="str">
            <v>K</v>
          </cell>
          <cell r="I114">
            <v>3</v>
          </cell>
          <cell r="J114">
            <v>4.2</v>
          </cell>
          <cell r="K114">
            <v>2.7</v>
          </cell>
        </row>
        <row r="115">
          <cell r="H115" t="str">
            <v>K</v>
          </cell>
          <cell r="I115">
            <v>1.6</v>
          </cell>
          <cell r="J115">
            <v>2.6</v>
          </cell>
          <cell r="K115">
            <v>7.3</v>
          </cell>
        </row>
        <row r="116">
          <cell r="H116" t="str">
            <v>K</v>
          </cell>
          <cell r="I116">
            <v>0.9</v>
          </cell>
          <cell r="J116">
            <v>1.8</v>
          </cell>
          <cell r="K116">
            <v>12.9</v>
          </cell>
        </row>
        <row r="117">
          <cell r="H117" t="str">
            <v>K</v>
          </cell>
          <cell r="I117">
            <v>0.8</v>
          </cell>
          <cell r="J117">
            <v>1.5</v>
          </cell>
          <cell r="K117">
            <v>19.3</v>
          </cell>
        </row>
        <row r="118">
          <cell r="H118" t="str">
            <v>K</v>
          </cell>
          <cell r="I118">
            <v>1.2</v>
          </cell>
          <cell r="J118">
            <v>1.4</v>
          </cell>
          <cell r="K118">
            <v>27.3</v>
          </cell>
        </row>
        <row r="119">
          <cell r="H119" t="str">
            <v>K</v>
          </cell>
          <cell r="I119">
            <v>2.2999999999999998</v>
          </cell>
          <cell r="J119">
            <v>1.6</v>
          </cell>
          <cell r="K119">
            <v>35.1</v>
          </cell>
        </row>
        <row r="120">
          <cell r="H120" t="str">
            <v>K</v>
          </cell>
          <cell r="I120">
            <v>2.2000000000000002</v>
          </cell>
          <cell r="J120">
            <v>1.7</v>
          </cell>
          <cell r="K120">
            <v>41.2</v>
          </cell>
        </row>
        <row r="121">
          <cell r="H121" t="str">
            <v>K</v>
          </cell>
          <cell r="I121">
            <v>2.2000000000000002</v>
          </cell>
          <cell r="J121">
            <v>1.8</v>
          </cell>
          <cell r="K121">
            <v>49.4</v>
          </cell>
        </row>
        <row r="122">
          <cell r="H122" t="str">
            <v>K</v>
          </cell>
          <cell r="I122">
            <v>1</v>
          </cell>
          <cell r="J122">
            <v>1.6</v>
          </cell>
          <cell r="K122">
            <v>64.2</v>
          </cell>
        </row>
        <row r="123">
          <cell r="H123" t="str">
            <v>K</v>
          </cell>
          <cell r="I123">
            <v>0.8</v>
          </cell>
          <cell r="J123">
            <v>1.4</v>
          </cell>
          <cell r="K123">
            <v>79.7</v>
          </cell>
        </row>
        <row r="124">
          <cell r="H124" t="str">
            <v>K</v>
          </cell>
          <cell r="I124">
            <v>4</v>
          </cell>
          <cell r="J124">
            <v>1.5</v>
          </cell>
          <cell r="K124">
            <v>66.7</v>
          </cell>
        </row>
        <row r="125">
          <cell r="H125" t="str">
            <v>K</v>
          </cell>
          <cell r="I125">
            <v>1.2</v>
          </cell>
          <cell r="J125">
            <v>1.5</v>
          </cell>
          <cell r="K125">
            <v>71.8</v>
          </cell>
        </row>
        <row r="126">
          <cell r="H126" t="str">
            <v>K</v>
          </cell>
          <cell r="I126">
            <v>0.95663000622535799</v>
          </cell>
          <cell r="J126">
            <v>0.8166028848984398</v>
          </cell>
          <cell r="K126">
            <v>21.5</v>
          </cell>
        </row>
        <row r="127">
          <cell r="H127" t="str">
            <v>K</v>
          </cell>
        </row>
        <row r="128">
          <cell r="H128" t="str">
            <v>K</v>
          </cell>
        </row>
        <row r="129">
          <cell r="H129" t="str">
            <v>K</v>
          </cell>
        </row>
        <row r="130">
          <cell r="H130" t="str">
            <v>K</v>
          </cell>
        </row>
        <row r="131">
          <cell r="H131" t="str">
            <v>K</v>
          </cell>
        </row>
        <row r="132">
          <cell r="H132" t="str">
            <v>K</v>
          </cell>
        </row>
        <row r="133">
          <cell r="H133" t="str">
            <v>K</v>
          </cell>
        </row>
        <row r="138">
          <cell r="H138" t="str">
            <v>N</v>
          </cell>
          <cell r="K138">
            <v>0</v>
          </cell>
        </row>
        <row r="139">
          <cell r="H139" t="str">
            <v>N</v>
          </cell>
          <cell r="K139">
            <v>1.8</v>
          </cell>
        </row>
        <row r="140">
          <cell r="H140" t="str">
            <v>N</v>
          </cell>
          <cell r="K140">
            <v>5.8</v>
          </cell>
        </row>
        <row r="141">
          <cell r="H141" t="str">
            <v>N</v>
          </cell>
          <cell r="I141">
            <v>1.5</v>
          </cell>
          <cell r="J141">
            <v>1.1000000000000001</v>
          </cell>
          <cell r="K141">
            <v>9.9</v>
          </cell>
        </row>
        <row r="142">
          <cell r="H142" t="str">
            <v>N</v>
          </cell>
          <cell r="I142">
            <v>0.9</v>
          </cell>
          <cell r="J142">
            <v>1</v>
          </cell>
          <cell r="K142">
            <v>15.4</v>
          </cell>
        </row>
        <row r="143">
          <cell r="H143" t="str">
            <v>N</v>
          </cell>
          <cell r="I143">
            <v>1.1000000000000001</v>
          </cell>
          <cell r="J143">
            <v>1.1000000000000001</v>
          </cell>
          <cell r="K143">
            <v>21.7</v>
          </cell>
        </row>
        <row r="144">
          <cell r="H144" t="str">
            <v>N</v>
          </cell>
          <cell r="I144">
            <v>0.7</v>
          </cell>
          <cell r="J144">
            <v>0.9</v>
          </cell>
          <cell r="K144">
            <v>30.1</v>
          </cell>
        </row>
        <row r="145">
          <cell r="H145" t="str">
            <v>N</v>
          </cell>
          <cell r="I145">
            <v>1.9</v>
          </cell>
          <cell r="J145">
            <v>1.1000000000000001</v>
          </cell>
          <cell r="K145">
            <v>36.9</v>
          </cell>
        </row>
        <row r="146">
          <cell r="H146" t="str">
            <v>N</v>
          </cell>
          <cell r="I146">
            <v>1</v>
          </cell>
          <cell r="J146">
            <v>1.1000000000000001</v>
          </cell>
          <cell r="K146">
            <v>45.4</v>
          </cell>
        </row>
        <row r="147">
          <cell r="H147" t="str">
            <v>N</v>
          </cell>
          <cell r="I147">
            <v>1</v>
          </cell>
          <cell r="J147">
            <v>1.1000000000000001</v>
          </cell>
          <cell r="K147">
            <v>52.6</v>
          </cell>
        </row>
        <row r="148">
          <cell r="H148" t="str">
            <v>N</v>
          </cell>
          <cell r="I148">
            <v>1</v>
          </cell>
          <cell r="J148">
            <v>1.1000000000000001</v>
          </cell>
          <cell r="K148">
            <v>61.1</v>
          </cell>
        </row>
        <row r="149">
          <cell r="H149" t="str">
            <v>N</v>
          </cell>
          <cell r="I149">
            <v>1.6</v>
          </cell>
          <cell r="J149">
            <v>1.1000000000000001</v>
          </cell>
          <cell r="K149">
            <v>67.2</v>
          </cell>
        </row>
        <row r="150">
          <cell r="H150" t="str">
            <v>N</v>
          </cell>
          <cell r="I150">
            <v>1.6</v>
          </cell>
          <cell r="J150">
            <v>1.2</v>
          </cell>
          <cell r="K150">
            <v>72.099999999999994</v>
          </cell>
        </row>
        <row r="151">
          <cell r="H151" t="str">
            <v>N</v>
          </cell>
          <cell r="I151">
            <v>0.4</v>
          </cell>
          <cell r="J151">
            <v>1.1000000000000001</v>
          </cell>
          <cell r="K151">
            <v>72.7</v>
          </cell>
        </row>
        <row r="152">
          <cell r="H152" t="str">
            <v>N</v>
          </cell>
          <cell r="I152">
            <v>1.3</v>
          </cell>
          <cell r="J152">
            <v>1.1000000000000001</v>
          </cell>
          <cell r="K152">
            <v>79.099999999999994</v>
          </cell>
        </row>
        <row r="153">
          <cell r="H153" t="str">
            <v>N</v>
          </cell>
          <cell r="I153">
            <v>0.93304843304843332</v>
          </cell>
          <cell r="J153">
            <v>0.62783002438174851</v>
          </cell>
          <cell r="K153">
            <v>31.9</v>
          </cell>
        </row>
        <row r="154">
          <cell r="H154" t="str">
            <v>N</v>
          </cell>
        </row>
        <row r="155">
          <cell r="H155" t="str">
            <v>N</v>
          </cell>
        </row>
        <row r="156">
          <cell r="H156" t="str">
            <v>N</v>
          </cell>
        </row>
        <row r="157">
          <cell r="H157" t="str">
            <v>N</v>
          </cell>
        </row>
        <row r="158">
          <cell r="H158" t="str">
            <v>N</v>
          </cell>
        </row>
        <row r="159">
          <cell r="H159" t="str">
            <v>N</v>
          </cell>
        </row>
        <row r="165">
          <cell r="H165" t="str">
            <v>S</v>
          </cell>
          <cell r="K165">
            <v>0</v>
          </cell>
        </row>
        <row r="166">
          <cell r="H166" t="str">
            <v>S</v>
          </cell>
          <cell r="K166">
            <v>2.8</v>
          </cell>
        </row>
        <row r="167">
          <cell r="H167" t="str">
            <v>S</v>
          </cell>
          <cell r="K167">
            <v>10.7</v>
          </cell>
        </row>
        <row r="168">
          <cell r="H168" t="str">
            <v>S</v>
          </cell>
          <cell r="I168">
            <v>1.3</v>
          </cell>
          <cell r="J168">
            <v>1.3</v>
          </cell>
          <cell r="K168">
            <v>20.2</v>
          </cell>
        </row>
        <row r="169">
          <cell r="H169" t="str">
            <v>S</v>
          </cell>
          <cell r="I169">
            <v>1.5</v>
          </cell>
          <cell r="J169">
            <v>1.3</v>
          </cell>
          <cell r="K169">
            <v>27.3</v>
          </cell>
        </row>
        <row r="170">
          <cell r="H170" t="str">
            <v>S</v>
          </cell>
          <cell r="I170">
            <v>1</v>
          </cell>
          <cell r="J170">
            <v>1.2</v>
          </cell>
          <cell r="K170">
            <v>35.200000000000003</v>
          </cell>
        </row>
        <row r="171">
          <cell r="H171" t="str">
            <v>S</v>
          </cell>
          <cell r="I171">
            <v>1</v>
          </cell>
          <cell r="J171">
            <v>1.2</v>
          </cell>
          <cell r="K171">
            <v>43.8</v>
          </cell>
        </row>
        <row r="172">
          <cell r="H172" t="str">
            <v>S</v>
          </cell>
          <cell r="I172">
            <v>1</v>
          </cell>
          <cell r="J172">
            <v>1.2</v>
          </cell>
          <cell r="K172">
            <v>51.9</v>
          </cell>
        </row>
        <row r="173">
          <cell r="H173" t="str">
            <v>S</v>
          </cell>
          <cell r="I173">
            <v>1</v>
          </cell>
          <cell r="J173">
            <v>1.1000000000000001</v>
          </cell>
          <cell r="K173">
            <v>61.7</v>
          </cell>
        </row>
        <row r="174">
          <cell r="H174" t="str">
            <v>S</v>
          </cell>
          <cell r="I174">
            <v>1</v>
          </cell>
          <cell r="J174">
            <v>1.1000000000000001</v>
          </cell>
          <cell r="K174">
            <v>70.2</v>
          </cell>
        </row>
        <row r="175">
          <cell r="H175" t="str">
            <v>S</v>
          </cell>
          <cell r="I175">
            <v>1.7</v>
          </cell>
          <cell r="J175">
            <v>1.2</v>
          </cell>
          <cell r="K175">
            <v>76.3</v>
          </cell>
        </row>
        <row r="176">
          <cell r="H176" t="str">
            <v>S</v>
          </cell>
          <cell r="I176">
            <v>1.4</v>
          </cell>
          <cell r="J176">
            <v>1.2</v>
          </cell>
          <cell r="K176">
            <v>82.9</v>
          </cell>
        </row>
        <row r="177">
          <cell r="H177" t="str">
            <v>S</v>
          </cell>
          <cell r="I177">
            <v>1.1000000000000001</v>
          </cell>
          <cell r="J177">
            <v>1.2</v>
          </cell>
          <cell r="K177">
            <v>89.7</v>
          </cell>
        </row>
        <row r="178">
          <cell r="H178" t="str">
            <v>S</v>
          </cell>
          <cell r="I178">
            <v>1</v>
          </cell>
          <cell r="J178">
            <v>1.2</v>
          </cell>
          <cell r="K178">
            <v>75.2</v>
          </cell>
        </row>
        <row r="179">
          <cell r="H179" t="str">
            <v>S</v>
          </cell>
          <cell r="I179">
            <v>1.2</v>
          </cell>
          <cell r="J179">
            <v>1.2</v>
          </cell>
          <cell r="K179">
            <v>79.400000000000006</v>
          </cell>
        </row>
        <row r="180">
          <cell r="H180" t="str">
            <v>S</v>
          </cell>
          <cell r="I180">
            <v>0.61172161172161177</v>
          </cell>
          <cell r="J180">
            <v>0.81661817996223141</v>
          </cell>
          <cell r="K180">
            <v>93.3</v>
          </cell>
        </row>
        <row r="181">
          <cell r="H181" t="str">
            <v>S</v>
          </cell>
        </row>
        <row r="182">
          <cell r="H182" t="str">
            <v>S</v>
          </cell>
        </row>
        <row r="183">
          <cell r="H183" t="str">
            <v>S</v>
          </cell>
        </row>
        <row r="184">
          <cell r="H184" t="str">
            <v>S</v>
          </cell>
        </row>
        <row r="185">
          <cell r="H185" t="str">
            <v>S</v>
          </cell>
        </row>
        <row r="186">
          <cell r="H186" t="str">
            <v>S</v>
          </cell>
        </row>
        <row r="192">
          <cell r="H192" t="str">
            <v>V</v>
          </cell>
          <cell r="K192">
            <v>0</v>
          </cell>
        </row>
        <row r="193">
          <cell r="H193" t="str">
            <v>V</v>
          </cell>
          <cell r="K193">
            <v>4.2</v>
          </cell>
        </row>
        <row r="194">
          <cell r="H194" t="str">
            <v>V</v>
          </cell>
          <cell r="K194">
            <v>16.100000000000001</v>
          </cell>
        </row>
        <row r="195">
          <cell r="H195" t="str">
            <v>V</v>
          </cell>
          <cell r="I195">
            <v>1.4</v>
          </cell>
          <cell r="J195">
            <v>1.4</v>
          </cell>
          <cell r="K195">
            <v>30.6</v>
          </cell>
        </row>
        <row r="196">
          <cell r="H196" t="str">
            <v>V</v>
          </cell>
          <cell r="I196">
            <v>1</v>
          </cell>
          <cell r="J196">
            <v>1.2</v>
          </cell>
          <cell r="K196">
            <v>48</v>
          </cell>
        </row>
        <row r="197">
          <cell r="H197" t="str">
            <v>V</v>
          </cell>
          <cell r="I197">
            <v>1.3</v>
          </cell>
          <cell r="J197">
            <v>1.2</v>
          </cell>
          <cell r="K197">
            <v>56.7</v>
          </cell>
        </row>
        <row r="198">
          <cell r="H198" t="str">
            <v>V</v>
          </cell>
          <cell r="I198">
            <v>1</v>
          </cell>
          <cell r="J198">
            <v>1.2</v>
          </cell>
          <cell r="K198">
            <v>67.7</v>
          </cell>
        </row>
        <row r="199">
          <cell r="H199" t="str">
            <v>V</v>
          </cell>
          <cell r="I199">
            <v>1.1000000000000001</v>
          </cell>
          <cell r="J199">
            <v>1.2</v>
          </cell>
          <cell r="K199">
            <v>79</v>
          </cell>
        </row>
        <row r="200">
          <cell r="H200" t="str">
            <v>V</v>
          </cell>
          <cell r="I200">
            <v>1.7</v>
          </cell>
          <cell r="J200">
            <v>1.2</v>
          </cell>
          <cell r="K200">
            <v>88.8</v>
          </cell>
        </row>
        <row r="201">
          <cell r="H201" t="str">
            <v>V</v>
          </cell>
          <cell r="I201">
            <v>4</v>
          </cell>
          <cell r="J201">
            <v>1.3</v>
          </cell>
          <cell r="K201">
            <v>90.8</v>
          </cell>
        </row>
        <row r="202">
          <cell r="H202" t="str">
            <v>V</v>
          </cell>
          <cell r="I202">
            <v>2.9</v>
          </cell>
          <cell r="J202">
            <v>1.3</v>
          </cell>
          <cell r="K202">
            <v>92.4</v>
          </cell>
        </row>
        <row r="203">
          <cell r="H203" t="str">
            <v>V</v>
          </cell>
          <cell r="I203">
            <v>4.3</v>
          </cell>
          <cell r="J203">
            <v>1.4</v>
          </cell>
          <cell r="K203">
            <v>93.8</v>
          </cell>
        </row>
        <row r="204">
          <cell r="H204" t="str">
            <v>V</v>
          </cell>
          <cell r="I204">
            <v>4.4000000000000004</v>
          </cell>
          <cell r="J204">
            <v>1.4</v>
          </cell>
          <cell r="K204">
            <v>95.1</v>
          </cell>
        </row>
        <row r="205">
          <cell r="H205" t="str">
            <v>V</v>
          </cell>
          <cell r="I205">
            <v>0.6</v>
          </cell>
          <cell r="J205">
            <v>1.4</v>
          </cell>
          <cell r="K205">
            <v>77.900000000000006</v>
          </cell>
        </row>
        <row r="206">
          <cell r="H206" t="str">
            <v>V</v>
          </cell>
          <cell r="I206">
            <v>0.7</v>
          </cell>
          <cell r="J206">
            <v>1.3</v>
          </cell>
          <cell r="K206">
            <v>82</v>
          </cell>
        </row>
        <row r="207">
          <cell r="H207" t="str">
            <v>V</v>
          </cell>
          <cell r="I207">
            <v>0</v>
          </cell>
          <cell r="J207">
            <v>0</v>
          </cell>
          <cell r="K207">
            <v>0</v>
          </cell>
        </row>
        <row r="208">
          <cell r="H208" t="str">
            <v>V</v>
          </cell>
        </row>
        <row r="209">
          <cell r="H209" t="str">
            <v>V</v>
          </cell>
        </row>
        <row r="210">
          <cell r="H210" t="str">
            <v>V</v>
          </cell>
        </row>
        <row r="211">
          <cell r="H211" t="str">
            <v>V</v>
          </cell>
        </row>
        <row r="212">
          <cell r="H212" t="str">
            <v>V</v>
          </cell>
        </row>
        <row r="219">
          <cell r="H219" t="str">
            <v>W</v>
          </cell>
          <cell r="K219">
            <v>0</v>
          </cell>
        </row>
        <row r="220">
          <cell r="H220" t="str">
            <v>W</v>
          </cell>
          <cell r="K220">
            <v>3</v>
          </cell>
        </row>
        <row r="221">
          <cell r="H221" t="str">
            <v>W</v>
          </cell>
          <cell r="K221">
            <v>15</v>
          </cell>
        </row>
        <row r="222">
          <cell r="H222" t="str">
            <v>W</v>
          </cell>
          <cell r="I222">
            <v>0.8</v>
          </cell>
          <cell r="J222">
            <v>1.1000000000000001</v>
          </cell>
          <cell r="K222">
            <v>34.799999999999997</v>
          </cell>
        </row>
        <row r="223">
          <cell r="H223" t="str">
            <v>W</v>
          </cell>
          <cell r="I223">
            <v>1</v>
          </cell>
          <cell r="J223">
            <v>1</v>
          </cell>
          <cell r="K223">
            <v>51.5</v>
          </cell>
        </row>
        <row r="224">
          <cell r="H224" t="str">
            <v>W</v>
          </cell>
          <cell r="I224">
            <v>1.8</v>
          </cell>
          <cell r="J224">
            <v>1.1000000000000001</v>
          </cell>
          <cell r="K224">
            <v>58.6</v>
          </cell>
        </row>
        <row r="225">
          <cell r="H225" t="str">
            <v>W</v>
          </cell>
          <cell r="I225">
            <v>2.2999999999999998</v>
          </cell>
          <cell r="J225">
            <v>1.2</v>
          </cell>
          <cell r="K225">
            <v>64.5</v>
          </cell>
        </row>
        <row r="226">
          <cell r="H226" t="str">
            <v>W</v>
          </cell>
          <cell r="I226">
            <v>2.2000000000000002</v>
          </cell>
          <cell r="J226">
            <v>1.3</v>
          </cell>
          <cell r="K226">
            <v>70.400000000000006</v>
          </cell>
        </row>
        <row r="227">
          <cell r="H227" t="str">
            <v>W</v>
          </cell>
          <cell r="I227">
            <v>3.3</v>
          </cell>
          <cell r="J227">
            <v>1.5</v>
          </cell>
          <cell r="K227">
            <v>76.099999999999994</v>
          </cell>
        </row>
        <row r="228">
          <cell r="H228" t="str">
            <v>W</v>
          </cell>
          <cell r="I228">
            <v>2.7</v>
          </cell>
          <cell r="J228">
            <v>1.5</v>
          </cell>
          <cell r="K228">
            <v>81.099999999999994</v>
          </cell>
        </row>
        <row r="229">
          <cell r="H229" t="str">
            <v>W</v>
          </cell>
          <cell r="I229">
            <v>6.7</v>
          </cell>
          <cell r="J229">
            <v>1.7</v>
          </cell>
          <cell r="K229">
            <v>83.4</v>
          </cell>
        </row>
      </sheetData>
      <sheetData sheetId="8">
        <row r="2">
          <cell r="T2" t="str">
            <v>Emesso</v>
          </cell>
          <cell r="U2" t="str">
            <v>:</v>
          </cell>
          <cell r="V2">
            <v>37021</v>
          </cell>
          <cell r="AI2" t="str">
            <v>Emesso :</v>
          </cell>
          <cell r="AJ2">
            <v>37021</v>
          </cell>
        </row>
        <row r="3">
          <cell r="J3" t="str">
            <v>CENTRALE TERMOELETTRICA</v>
          </cell>
          <cell r="T3" t="str">
            <v xml:space="preserve"> Doc.          </v>
          </cell>
          <cell r="U3" t="str">
            <v>:</v>
          </cell>
          <cell r="V3" t="str">
            <v>2993 PZ RP B05 sh 2 of 3</v>
          </cell>
          <cell r="AB3" t="str">
            <v>CENTRALE TERMOELETTRICA</v>
          </cell>
          <cell r="AI3" t="str">
            <v xml:space="preserve"> Doc.                     :</v>
          </cell>
          <cell r="AJ3" t="str">
            <v>2993 PZ RP B05  Sh 1 of 3</v>
          </cell>
        </row>
        <row r="4">
          <cell r="J4" t="str">
            <v>SITUAZIONE IMPEGNO RISORSE: DATI E RISULTATI BASE FASE A - ATTIVITA' PCS</v>
          </cell>
          <cell r="T4" t="str">
            <v>Aggiorn.</v>
          </cell>
          <cell r="U4" t="str">
            <v>:</v>
          </cell>
          <cell r="V4">
            <v>36991</v>
          </cell>
          <cell r="AB4" t="str">
            <v>MANHOURS CONTROL CHART</v>
          </cell>
          <cell r="AI4" t="str">
            <v>Aggiorn.</v>
          </cell>
          <cell r="AJ4">
            <v>36991</v>
          </cell>
        </row>
        <row r="5">
          <cell r="T5" t="str">
            <v xml:space="preserve"> Checked</v>
          </cell>
          <cell r="U5" t="str">
            <v>:</v>
          </cell>
          <cell r="AI5" t="str">
            <v xml:space="preserve"> Checked               :</v>
          </cell>
        </row>
        <row r="6">
          <cell r="G6" t="str">
            <v>Emesso :</v>
          </cell>
          <cell r="H6" t="str">
            <v>PROGR</v>
          </cell>
          <cell r="J6" t="str">
            <v>Comm. TCM :</v>
          </cell>
          <cell r="K6">
            <v>2993.09</v>
          </cell>
          <cell r="L6" t="str">
            <v>Progetto :</v>
          </cell>
          <cell r="M6" t="str">
            <v>CENTRALE TERMOELETTRICA</v>
          </cell>
          <cell r="Q6" t="str">
            <v xml:space="preserve"> Cliente :</v>
          </cell>
          <cell r="R6" t="str">
            <v>EDISON</v>
          </cell>
          <cell r="T6" t="str">
            <v>Localita`</v>
          </cell>
          <cell r="U6" t="str">
            <v>:</v>
          </cell>
          <cell r="V6" t="str">
            <v>MARGHERA LEVANTE</v>
          </cell>
          <cell r="Z6" t="str">
            <v>Emesso :</v>
          </cell>
          <cell r="AA6" t="str">
            <v xml:space="preserve"> PROGR</v>
          </cell>
          <cell r="AB6" t="str">
            <v>Comm. TCM</v>
          </cell>
          <cell r="AC6">
            <v>2993.09</v>
          </cell>
          <cell r="AD6" t="str">
            <v>Progetto :</v>
          </cell>
          <cell r="AE6" t="str">
            <v>CENTRALE TERMOELETTRICA</v>
          </cell>
          <cell r="AG6" t="str">
            <v xml:space="preserve"> Cliente :</v>
          </cell>
          <cell r="AH6" t="str">
            <v>EDISON</v>
          </cell>
          <cell r="AI6" t="str">
            <v>Localita`</v>
          </cell>
          <cell r="AJ6" t="str">
            <v>MARGHERA LEVANTE</v>
          </cell>
        </row>
        <row r="8">
          <cell r="G8" t="str">
            <v>CENTRO</v>
          </cell>
          <cell r="H8" t="str">
            <v>BUDGET</v>
          </cell>
          <cell r="K8" t="str">
            <v>O R E</v>
          </cell>
          <cell r="L8" t="str">
            <v>AVANZAMENTI %</v>
          </cell>
          <cell r="N8" t="str">
            <v>CONSUNTIVI ORE</v>
          </cell>
          <cell r="P8" t="str">
            <v>INDICI DI PRODUTTIVITA'</v>
          </cell>
          <cell r="S8" t="str">
            <v>ORE STD.</v>
          </cell>
          <cell r="T8" t="str">
            <v>ORE EFF.</v>
          </cell>
          <cell r="V8" t="str">
            <v>PRE</v>
          </cell>
          <cell r="Z8" t="str">
            <v>CENTRO</v>
          </cell>
          <cell r="AA8" t="str">
            <v>BUDGET</v>
          </cell>
          <cell r="AD8" t="str">
            <v xml:space="preserve"> </v>
          </cell>
          <cell r="AE8" t="str">
            <v xml:space="preserve">       INDICI DI PRODUTTIVITA'</v>
          </cell>
          <cell r="AI8" t="str">
            <v xml:space="preserve"> </v>
          </cell>
        </row>
        <row r="9">
          <cell r="G9" t="str">
            <v>DI</v>
          </cell>
          <cell r="H9" t="str">
            <v>INIZIALE</v>
          </cell>
          <cell r="I9" t="str">
            <v>VARIANTI</v>
          </cell>
          <cell r="J9" t="str">
            <v>AGGIORNATO</v>
          </cell>
          <cell r="K9" t="str">
            <v>TOTALI</v>
          </cell>
          <cell r="L9" t="str">
            <v>MENSILE</v>
          </cell>
          <cell r="M9" t="str">
            <v>PROGRESSIVO</v>
          </cell>
          <cell r="N9" t="str">
            <v>MENSILE</v>
          </cell>
          <cell r="O9" t="str">
            <v>PROGRESSIVO</v>
          </cell>
          <cell r="P9" t="str">
            <v>MENSILE</v>
          </cell>
          <cell r="Q9" t="str">
            <v>PROGRESSIVO</v>
          </cell>
          <cell r="R9" t="str">
            <v>A  FINIRE</v>
          </cell>
          <cell r="S9" t="str">
            <v xml:space="preserve"> A  FINIRE</v>
          </cell>
          <cell r="T9" t="str">
            <v>A  FINIRE</v>
          </cell>
          <cell r="V9" t="str">
            <v>CONSUNTIVO</v>
          </cell>
          <cell r="W9" t="str">
            <v>DIFFERENZA</v>
          </cell>
          <cell r="Z9" t="str">
            <v>DI</v>
          </cell>
          <cell r="AA9" t="str">
            <v>INIZIALE</v>
          </cell>
          <cell r="AB9" t="str">
            <v>VARIANTI</v>
          </cell>
          <cell r="AC9" t="str">
            <v>AGGIORNATO</v>
          </cell>
          <cell r="AD9" t="str">
            <v>CONSUNTIVO</v>
          </cell>
          <cell r="AE9" t="str">
            <v>CONSUNTIVO</v>
          </cell>
          <cell r="AF9" t="str">
            <v>PREVISTO  AL</v>
          </cell>
          <cell r="AG9" t="str">
            <v>FINALE</v>
          </cell>
          <cell r="AH9" t="str">
            <v>PREVISTO   AL</v>
          </cell>
          <cell r="AI9" t="str">
            <v>PRECONSUNTIVO</v>
          </cell>
          <cell r="AK9" t="str">
            <v>DIFFERENZA</v>
          </cell>
        </row>
        <row r="10">
          <cell r="G10" t="str">
            <v>COSTO</v>
          </cell>
          <cell r="K10" t="str">
            <v>PROGRAMMATE</v>
          </cell>
          <cell r="P10" t="str">
            <v>100x7/4x5</v>
          </cell>
          <cell r="Q10" t="str">
            <v>100x8/4x6</v>
          </cell>
          <cell r="R10" t="str">
            <v>(STIMA)</v>
          </cell>
          <cell r="S10" t="str">
            <v>4-4x6/100</v>
          </cell>
          <cell r="T10" t="str">
            <v>11x12</v>
          </cell>
          <cell r="V10" t="str">
            <v>8+13</v>
          </cell>
          <cell r="W10" t="str">
            <v>14-4</v>
          </cell>
          <cell r="Z10" t="str">
            <v>COSTO</v>
          </cell>
          <cell r="AD10" t="str">
            <v>PROGRESSIVO</v>
          </cell>
          <cell r="AE10" t="str">
            <v>PROGRESSIVO</v>
          </cell>
          <cell r="AF10" t="str">
            <v>COMPLETAMENTO</v>
          </cell>
          <cell r="AG10" t="str">
            <v>ATTESO</v>
          </cell>
          <cell r="AH10" t="str">
            <v>COMPLETAMENTO</v>
          </cell>
          <cell r="AI10" t="str">
            <v>4+5</v>
          </cell>
          <cell r="AK10" t="str">
            <v>6-3</v>
          </cell>
        </row>
        <row r="11">
          <cell r="H11" t="str">
            <v>1</v>
          </cell>
          <cell r="I11" t="str">
            <v>2</v>
          </cell>
          <cell r="J11" t="str">
            <v>3=1+2</v>
          </cell>
          <cell r="K11" t="str">
            <v>4</v>
          </cell>
          <cell r="L11" t="str">
            <v>5</v>
          </cell>
          <cell r="M11" t="str">
            <v>6</v>
          </cell>
          <cell r="N11" t="str">
            <v>7</v>
          </cell>
          <cell r="O11" t="str">
            <v>8</v>
          </cell>
          <cell r="P11" t="str">
            <v>9</v>
          </cell>
          <cell r="Q11" t="str">
            <v>10</v>
          </cell>
          <cell r="R11" t="str">
            <v>11</v>
          </cell>
          <cell r="S11" t="str">
            <v>12</v>
          </cell>
          <cell r="T11" t="str">
            <v>13</v>
          </cell>
          <cell r="V11" t="str">
            <v>14</v>
          </cell>
          <cell r="W11" t="str">
            <v>15</v>
          </cell>
          <cell r="AA11" t="str">
            <v>1</v>
          </cell>
          <cell r="AB11" t="str">
            <v>2</v>
          </cell>
          <cell r="AC11" t="str">
            <v>3=1+2</v>
          </cell>
          <cell r="AD11" t="str">
            <v>4</v>
          </cell>
          <cell r="AE11" t="str">
            <v>(A)</v>
          </cell>
          <cell r="AF11" t="str">
            <v>(B)</v>
          </cell>
          <cell r="AG11" t="str">
            <v>(C)</v>
          </cell>
          <cell r="AH11" t="str">
            <v>5</v>
          </cell>
          <cell r="AI11" t="str">
            <v>6</v>
          </cell>
          <cell r="AK11" t="str">
            <v>7</v>
          </cell>
        </row>
        <row r="13">
          <cell r="G13" t="str">
            <v>220-SICIM</v>
          </cell>
          <cell r="H13">
            <v>1100</v>
          </cell>
          <cell r="J13">
            <v>1100</v>
          </cell>
          <cell r="K13">
            <v>1050</v>
          </cell>
          <cell r="L13">
            <v>26</v>
          </cell>
          <cell r="M13">
            <v>93.3</v>
          </cell>
          <cell r="N13">
            <v>167</v>
          </cell>
          <cell r="O13">
            <v>800</v>
          </cell>
          <cell r="P13">
            <v>0.61172161172161177</v>
          </cell>
          <cell r="Q13">
            <v>0.81661817996223141</v>
          </cell>
          <cell r="R13">
            <v>3.5536602700781792</v>
          </cell>
          <cell r="S13">
            <v>70.350000000000023</v>
          </cell>
          <cell r="T13">
            <v>250</v>
          </cell>
          <cell r="V13">
            <v>1050</v>
          </cell>
          <cell r="W13">
            <v>0</v>
          </cell>
          <cell r="Z13" t="str">
            <v>220-SICIM</v>
          </cell>
          <cell r="AA13">
            <v>1100</v>
          </cell>
          <cell r="AB13">
            <v>0</v>
          </cell>
          <cell r="AC13">
            <v>1100</v>
          </cell>
          <cell r="AD13">
            <v>800</v>
          </cell>
          <cell r="AE13">
            <v>0.81661817996223141</v>
          </cell>
          <cell r="AF13">
            <v>2.492729538845035</v>
          </cell>
          <cell r="AG13">
            <v>1</v>
          </cell>
          <cell r="AH13">
            <v>300</v>
          </cell>
          <cell r="AI13">
            <v>1100</v>
          </cell>
          <cell r="AK13">
            <v>0</v>
          </cell>
        </row>
        <row r="14">
          <cell r="G14" t="str">
            <v>221-IMPGE</v>
          </cell>
          <cell r="H14">
            <v>11800</v>
          </cell>
          <cell r="J14">
            <v>11800</v>
          </cell>
          <cell r="K14">
            <v>11450</v>
          </cell>
          <cell r="L14">
            <v>14.600000000000001</v>
          </cell>
          <cell r="M14">
            <v>48.9</v>
          </cell>
          <cell r="N14">
            <v>1299</v>
          </cell>
          <cell r="O14">
            <v>4869</v>
          </cell>
          <cell r="P14">
            <v>0.77705329903690845</v>
          </cell>
          <cell r="Q14">
            <v>0.8696118091461944</v>
          </cell>
          <cell r="R14">
            <v>1.1247746092514892</v>
          </cell>
          <cell r="S14">
            <v>5850.95</v>
          </cell>
          <cell r="T14">
            <v>6581.0000000000009</v>
          </cell>
          <cell r="V14">
            <v>11450</v>
          </cell>
          <cell r="W14">
            <v>0</v>
          </cell>
          <cell r="Z14" t="str">
            <v>221-IMPGE</v>
          </cell>
          <cell r="AA14">
            <v>11800</v>
          </cell>
          <cell r="AB14">
            <v>0</v>
          </cell>
          <cell r="AC14">
            <v>11800</v>
          </cell>
          <cell r="AD14">
            <v>4869</v>
          </cell>
          <cell r="AE14">
            <v>0.8696118091461944</v>
          </cell>
          <cell r="AF14">
            <v>1.1177319604254188</v>
          </cell>
          <cell r="AG14">
            <v>1</v>
          </cell>
          <cell r="AH14">
            <v>6931.0000000000009</v>
          </cell>
          <cell r="AI14">
            <v>11800</v>
          </cell>
          <cell r="AK14">
            <v>0</v>
          </cell>
        </row>
        <row r="15">
          <cell r="G15" t="str">
            <v>222-CALFO</v>
          </cell>
          <cell r="H15">
            <v>100</v>
          </cell>
          <cell r="J15">
            <v>100</v>
          </cell>
          <cell r="K15">
            <v>100</v>
          </cell>
          <cell r="L15">
            <v>0</v>
          </cell>
          <cell r="M15">
            <v>55</v>
          </cell>
          <cell r="N15">
            <v>0</v>
          </cell>
          <cell r="O15">
            <v>69</v>
          </cell>
          <cell r="P15">
            <v>0</v>
          </cell>
          <cell r="Q15">
            <v>1.2545454545454546</v>
          </cell>
          <cell r="R15">
            <v>0.68888888888888888</v>
          </cell>
          <cell r="S15">
            <v>45</v>
          </cell>
          <cell r="T15">
            <v>31</v>
          </cell>
          <cell r="V15">
            <v>100</v>
          </cell>
          <cell r="W15">
            <v>0</v>
          </cell>
          <cell r="Z15" t="str">
            <v>222-CALFO</v>
          </cell>
          <cell r="AA15">
            <v>100</v>
          </cell>
          <cell r="AB15">
            <v>0</v>
          </cell>
          <cell r="AC15">
            <v>100</v>
          </cell>
          <cell r="AD15">
            <v>69</v>
          </cell>
          <cell r="AE15">
            <v>1.2545454545454546</v>
          </cell>
          <cell r="AF15">
            <v>0.68888888888888888</v>
          </cell>
          <cell r="AG15">
            <v>1</v>
          </cell>
          <cell r="AH15">
            <v>31</v>
          </cell>
          <cell r="AI15">
            <v>100</v>
          </cell>
          <cell r="AK15">
            <v>0</v>
          </cell>
        </row>
        <row r="16">
          <cell r="G16" t="str">
            <v>223-MACCH</v>
          </cell>
          <cell r="H16">
            <v>200</v>
          </cell>
          <cell r="J16">
            <v>200</v>
          </cell>
          <cell r="K16">
            <v>200</v>
          </cell>
          <cell r="L16">
            <v>4</v>
          </cell>
          <cell r="M16">
            <v>82</v>
          </cell>
          <cell r="N16">
            <v>14</v>
          </cell>
          <cell r="O16">
            <v>213</v>
          </cell>
          <cell r="P16">
            <v>1.75</v>
          </cell>
          <cell r="Q16">
            <v>1.2987804878048781</v>
          </cell>
          <cell r="R16">
            <v>0.47222222222222221</v>
          </cell>
          <cell r="S16">
            <v>36</v>
          </cell>
          <cell r="T16">
            <v>17</v>
          </cell>
          <cell r="V16">
            <v>230</v>
          </cell>
          <cell r="W16">
            <v>30</v>
          </cell>
          <cell r="Z16" t="str">
            <v>223-MACCH</v>
          </cell>
          <cell r="AA16">
            <v>200</v>
          </cell>
          <cell r="AB16">
            <v>0</v>
          </cell>
          <cell r="AC16">
            <v>200</v>
          </cell>
          <cell r="AD16">
            <v>213</v>
          </cell>
          <cell r="AE16">
            <v>1.2987804878048781</v>
          </cell>
          <cell r="AF16">
            <v>0.47222222222222221</v>
          </cell>
          <cell r="AG16">
            <v>1.1499999999999999</v>
          </cell>
          <cell r="AH16">
            <v>17</v>
          </cell>
          <cell r="AI16">
            <v>230</v>
          </cell>
          <cell r="AK16">
            <v>30</v>
          </cell>
        </row>
        <row r="17">
          <cell r="G17" t="str">
            <v>225-EDILE</v>
          </cell>
          <cell r="H17">
            <v>6000</v>
          </cell>
          <cell r="J17">
            <v>6000</v>
          </cell>
          <cell r="K17">
            <v>6000</v>
          </cell>
          <cell r="L17">
            <v>7.8000000000000043</v>
          </cell>
          <cell r="M17">
            <v>57.1</v>
          </cell>
          <cell r="N17">
            <v>441</v>
          </cell>
          <cell r="O17">
            <v>2449</v>
          </cell>
          <cell r="P17">
            <v>0.94230769230769174</v>
          </cell>
          <cell r="Q17">
            <v>0.71482778750729714</v>
          </cell>
          <cell r="R17">
            <v>1.5683760683760684</v>
          </cell>
          <cell r="S17">
            <v>2574</v>
          </cell>
          <cell r="T17">
            <v>4037</v>
          </cell>
          <cell r="V17">
            <v>6486</v>
          </cell>
          <cell r="W17">
            <v>486</v>
          </cell>
          <cell r="Z17" t="str">
            <v>225-EDILE</v>
          </cell>
          <cell r="AA17">
            <v>6000</v>
          </cell>
          <cell r="AB17">
            <v>0</v>
          </cell>
          <cell r="AC17">
            <v>6000</v>
          </cell>
          <cell r="AD17">
            <v>2449</v>
          </cell>
          <cell r="AE17">
            <v>0.71482778750729714</v>
          </cell>
          <cell r="AF17">
            <v>1.5683760683760684</v>
          </cell>
          <cell r="AG17">
            <v>1.081</v>
          </cell>
          <cell r="AH17">
            <v>4037</v>
          </cell>
          <cell r="AI17">
            <v>6486</v>
          </cell>
          <cell r="AK17">
            <v>486</v>
          </cell>
        </row>
        <row r="18">
          <cell r="G18" t="str">
            <v>226-ELETT</v>
          </cell>
          <cell r="H18">
            <v>10800</v>
          </cell>
          <cell r="J18">
            <v>10800</v>
          </cell>
          <cell r="K18">
            <v>10800</v>
          </cell>
          <cell r="L18">
            <v>3.8999999999999986</v>
          </cell>
          <cell r="M18">
            <v>31.9</v>
          </cell>
          <cell r="N18">
            <v>393</v>
          </cell>
          <cell r="O18">
            <v>2163</v>
          </cell>
          <cell r="P18">
            <v>0.93304843304843332</v>
          </cell>
          <cell r="Q18">
            <v>0.62783002438174851</v>
          </cell>
          <cell r="R18">
            <v>1.3992222766084734</v>
          </cell>
          <cell r="S18">
            <v>7354.8</v>
          </cell>
          <cell r="T18">
            <v>10291</v>
          </cell>
          <cell r="V18">
            <v>12454</v>
          </cell>
          <cell r="W18">
            <v>1654</v>
          </cell>
          <cell r="Z18" t="str">
            <v>226-ELETT</v>
          </cell>
          <cell r="AA18">
            <v>10800</v>
          </cell>
          <cell r="AB18">
            <v>0</v>
          </cell>
          <cell r="AC18">
            <v>10800</v>
          </cell>
          <cell r="AD18">
            <v>2163</v>
          </cell>
          <cell r="AE18">
            <v>0.62783002438174851</v>
          </cell>
          <cell r="AF18">
            <v>1.3835763181271881</v>
          </cell>
          <cell r="AG18">
            <v>1.149009009009009</v>
          </cell>
          <cell r="AH18">
            <v>10291</v>
          </cell>
          <cell r="AI18">
            <v>12454</v>
          </cell>
          <cell r="AK18">
            <v>1654</v>
          </cell>
        </row>
        <row r="19">
          <cell r="G19" t="str">
            <v>227-STRUM</v>
          </cell>
          <cell r="H19">
            <v>8200</v>
          </cell>
          <cell r="J19">
            <v>8200</v>
          </cell>
          <cell r="K19">
            <v>7900</v>
          </cell>
          <cell r="L19">
            <v>6.1</v>
          </cell>
          <cell r="M19">
            <v>21.5</v>
          </cell>
          <cell r="N19">
            <v>461</v>
          </cell>
          <cell r="O19">
            <v>1387</v>
          </cell>
          <cell r="P19">
            <v>0.95663000622535799</v>
          </cell>
          <cell r="Q19">
            <v>0.8166028848984398</v>
          </cell>
          <cell r="R19">
            <v>1.0502297831169878</v>
          </cell>
          <cell r="S19">
            <v>6201.5</v>
          </cell>
          <cell r="T19">
            <v>6513</v>
          </cell>
          <cell r="V19">
            <v>7900</v>
          </cell>
          <cell r="W19">
            <v>0</v>
          </cell>
          <cell r="Z19" t="str">
            <v>227-STRUM</v>
          </cell>
          <cell r="AA19">
            <v>8200</v>
          </cell>
          <cell r="AB19">
            <v>0</v>
          </cell>
          <cell r="AC19">
            <v>8200</v>
          </cell>
          <cell r="AD19">
            <v>1387</v>
          </cell>
          <cell r="AE19">
            <v>0.8166028848984398</v>
          </cell>
          <cell r="AF19">
            <v>1.0502297831169878</v>
          </cell>
          <cell r="AG19">
            <v>1</v>
          </cell>
          <cell r="AH19">
            <v>6813</v>
          </cell>
          <cell r="AI19">
            <v>8200</v>
          </cell>
          <cell r="AK19">
            <v>0</v>
          </cell>
        </row>
        <row r="20">
          <cell r="G20" t="str">
            <v>240/1-PROCS</v>
          </cell>
          <cell r="H20">
            <v>0</v>
          </cell>
          <cell r="J20">
            <v>0</v>
          </cell>
          <cell r="K20">
            <v>0</v>
          </cell>
          <cell r="N20">
            <v>0</v>
          </cell>
          <cell r="P20">
            <v>0</v>
          </cell>
          <cell r="Q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Z20" t="str">
            <v>240-PROCS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</row>
        <row r="21">
          <cell r="G21" t="str">
            <v>247-AUSI</v>
          </cell>
          <cell r="H21">
            <v>1600</v>
          </cell>
          <cell r="J21">
            <v>1600</v>
          </cell>
          <cell r="K21">
            <v>1600</v>
          </cell>
          <cell r="L21">
            <v>11.200000000000003</v>
          </cell>
          <cell r="M21">
            <v>79.3</v>
          </cell>
          <cell r="N21">
            <v>140</v>
          </cell>
          <cell r="O21">
            <v>1054</v>
          </cell>
          <cell r="P21">
            <v>0.78124999999999989</v>
          </cell>
          <cell r="Q21">
            <v>0.83070617906683486</v>
          </cell>
          <cell r="R21">
            <v>1.6485507246376809</v>
          </cell>
          <cell r="S21">
            <v>331.20000000000005</v>
          </cell>
          <cell r="T21">
            <v>546</v>
          </cell>
          <cell r="V21">
            <v>1600</v>
          </cell>
          <cell r="W21">
            <v>0</v>
          </cell>
          <cell r="Z21" t="str">
            <v>247-AUSI</v>
          </cell>
          <cell r="AA21">
            <v>1600</v>
          </cell>
          <cell r="AB21">
            <v>0</v>
          </cell>
          <cell r="AC21">
            <v>1600</v>
          </cell>
          <cell r="AD21">
            <v>1054</v>
          </cell>
          <cell r="AE21">
            <v>0.83070617906683486</v>
          </cell>
          <cell r="AF21">
            <v>1.6485507246376809</v>
          </cell>
          <cell r="AG21">
            <v>1</v>
          </cell>
          <cell r="AH21">
            <v>546</v>
          </cell>
          <cell r="AI21">
            <v>1600</v>
          </cell>
          <cell r="AK21">
            <v>0</v>
          </cell>
        </row>
        <row r="23">
          <cell r="G23" t="str">
            <v>TOT. INGEGNERIA</v>
          </cell>
          <cell r="H23">
            <v>39800</v>
          </cell>
          <cell r="I23">
            <v>0</v>
          </cell>
          <cell r="J23">
            <v>39800</v>
          </cell>
          <cell r="K23">
            <v>39100</v>
          </cell>
          <cell r="L23">
            <v>7.7621483375959075</v>
          </cell>
          <cell r="M23">
            <v>42.547826086956526</v>
          </cell>
          <cell r="N23">
            <v>2915</v>
          </cell>
          <cell r="O23">
            <v>13004</v>
          </cell>
          <cell r="P23">
            <v>0.96046128500823724</v>
          </cell>
          <cell r="Q23">
            <v>0.78166889073225843</v>
          </cell>
          <cell r="S23">
            <v>22463.8</v>
          </cell>
          <cell r="T23">
            <v>28266</v>
          </cell>
          <cell r="V23">
            <v>41270</v>
          </cell>
          <cell r="W23">
            <v>2170</v>
          </cell>
          <cell r="Z23" t="str">
            <v>TOT. INGEGNERIA</v>
          </cell>
          <cell r="AA23">
            <v>39800</v>
          </cell>
          <cell r="AB23">
            <v>0</v>
          </cell>
          <cell r="AC23">
            <v>39800</v>
          </cell>
          <cell r="AD23">
            <v>13004</v>
          </cell>
          <cell r="AE23">
            <v>0.78166889073225843</v>
          </cell>
          <cell r="AF23">
            <v>1.2504856716082853</v>
          </cell>
          <cell r="AG23">
            <v>1.0545226130653267</v>
          </cell>
          <cell r="AH23">
            <v>28966</v>
          </cell>
          <cell r="AI23">
            <v>41970</v>
          </cell>
          <cell r="AK23">
            <v>2170</v>
          </cell>
        </row>
        <row r="24">
          <cell r="H24">
            <v>0</v>
          </cell>
        </row>
        <row r="25">
          <cell r="G25" t="str">
            <v>247-COIMP</v>
          </cell>
          <cell r="H25">
            <v>1000</v>
          </cell>
          <cell r="J25">
            <v>1000</v>
          </cell>
          <cell r="K25">
            <v>1000</v>
          </cell>
          <cell r="L25">
            <v>9</v>
          </cell>
          <cell r="M25">
            <v>57</v>
          </cell>
          <cell r="N25">
            <v>58</v>
          </cell>
          <cell r="O25">
            <v>431</v>
          </cell>
          <cell r="P25">
            <v>0.64444444444444449</v>
          </cell>
          <cell r="Q25">
            <v>0.756140350877193</v>
          </cell>
          <cell r="R25">
            <v>1.3232558139534885</v>
          </cell>
          <cell r="S25">
            <v>430</v>
          </cell>
          <cell r="T25">
            <v>569</v>
          </cell>
          <cell r="V25">
            <v>1000</v>
          </cell>
          <cell r="W25">
            <v>0</v>
          </cell>
          <cell r="Z25" t="str">
            <v>247-COIMP</v>
          </cell>
          <cell r="AA25">
            <v>1000</v>
          </cell>
          <cell r="AB25">
            <v>0</v>
          </cell>
          <cell r="AC25">
            <v>1000</v>
          </cell>
          <cell r="AD25">
            <v>431</v>
          </cell>
          <cell r="AE25">
            <v>0.756140350877193</v>
          </cell>
          <cell r="AF25">
            <v>1.3232558139534885</v>
          </cell>
          <cell r="AG25">
            <v>1</v>
          </cell>
          <cell r="AH25">
            <v>569</v>
          </cell>
          <cell r="AI25">
            <v>1000</v>
          </cell>
          <cell r="AK25">
            <v>0</v>
          </cell>
        </row>
        <row r="26">
          <cell r="G26" t="str">
            <v>230/1/259-LAV</v>
          </cell>
          <cell r="H26">
            <v>0</v>
          </cell>
          <cell r="J26">
            <v>0</v>
          </cell>
          <cell r="L26">
            <v>0</v>
          </cell>
          <cell r="N26">
            <v>0</v>
          </cell>
          <cell r="P26">
            <v>0</v>
          </cell>
          <cell r="Q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Z26" t="str">
            <v>230/1/259-LAV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</row>
        <row r="27">
          <cell r="G27" t="str">
            <v>214-PROGR</v>
          </cell>
          <cell r="H27">
            <v>400</v>
          </cell>
          <cell r="J27">
            <v>400</v>
          </cell>
          <cell r="K27">
            <v>400</v>
          </cell>
          <cell r="L27">
            <v>3.9000000000000057</v>
          </cell>
          <cell r="M27">
            <v>81.2</v>
          </cell>
          <cell r="N27">
            <v>34</v>
          </cell>
          <cell r="O27">
            <v>485</v>
          </cell>
          <cell r="P27">
            <v>2.1794871794871762</v>
          </cell>
          <cell r="Q27">
            <v>1.4932266009852218</v>
          </cell>
          <cell r="R27">
            <v>0.86436170212765973</v>
          </cell>
          <cell r="S27">
            <v>75.199999999999989</v>
          </cell>
          <cell r="T27">
            <v>65</v>
          </cell>
          <cell r="V27">
            <v>550</v>
          </cell>
          <cell r="W27">
            <v>150</v>
          </cell>
          <cell r="Z27" t="str">
            <v>214-PROGR</v>
          </cell>
          <cell r="AA27">
            <v>400</v>
          </cell>
          <cell r="AB27">
            <v>0</v>
          </cell>
          <cell r="AC27">
            <v>400</v>
          </cell>
          <cell r="AD27">
            <v>485</v>
          </cell>
          <cell r="AE27">
            <v>1.4932266009852218</v>
          </cell>
          <cell r="AF27">
            <v>0.86436170212765973</v>
          </cell>
          <cell r="AG27">
            <v>1.375</v>
          </cell>
          <cell r="AH27">
            <v>65</v>
          </cell>
          <cell r="AI27">
            <v>550</v>
          </cell>
          <cell r="AK27">
            <v>150</v>
          </cell>
        </row>
        <row r="28">
          <cell r="G28" t="str">
            <v>268-GEPRO</v>
          </cell>
          <cell r="H28">
            <v>0</v>
          </cell>
          <cell r="J28">
            <v>0</v>
          </cell>
          <cell r="L28">
            <v>0</v>
          </cell>
          <cell r="N28">
            <v>0</v>
          </cell>
          <cell r="P28">
            <v>0</v>
          </cell>
          <cell r="Q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Z28" t="str">
            <v>268-GEPRO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</row>
        <row r="29">
          <cell r="G29" t="str">
            <v>229-GESIN</v>
          </cell>
          <cell r="H29">
            <v>1800</v>
          </cell>
          <cell r="J29">
            <v>1800</v>
          </cell>
          <cell r="K29">
            <v>1800</v>
          </cell>
          <cell r="L29">
            <v>8.8999999999999986</v>
          </cell>
          <cell r="M29">
            <v>59.4</v>
          </cell>
          <cell r="N29">
            <v>220</v>
          </cell>
          <cell r="O29">
            <v>987</v>
          </cell>
          <cell r="P29">
            <v>1.3732833957553061</v>
          </cell>
          <cell r="Q29">
            <v>0.92312008978675641</v>
          </cell>
          <cell r="R29">
            <v>1.1124794745484401</v>
          </cell>
          <cell r="S29">
            <v>730.8</v>
          </cell>
          <cell r="T29">
            <v>813</v>
          </cell>
          <cell r="V29">
            <v>1800</v>
          </cell>
          <cell r="W29">
            <v>0</v>
          </cell>
          <cell r="Z29" t="str">
            <v>229-GESIN</v>
          </cell>
          <cell r="AA29">
            <v>1800</v>
          </cell>
          <cell r="AB29">
            <v>0</v>
          </cell>
          <cell r="AC29">
            <v>1800</v>
          </cell>
          <cell r="AD29">
            <v>987</v>
          </cell>
          <cell r="AE29">
            <v>0.92312008978675641</v>
          </cell>
          <cell r="AF29">
            <v>1.1124794745484401</v>
          </cell>
          <cell r="AG29">
            <v>1</v>
          </cell>
          <cell r="AH29">
            <v>813</v>
          </cell>
          <cell r="AI29">
            <v>1800</v>
          </cell>
          <cell r="AK29">
            <v>0</v>
          </cell>
        </row>
        <row r="30">
          <cell r="G30" t="str">
            <v>246-AVIMP</v>
          </cell>
          <cell r="H30">
            <v>0</v>
          </cell>
          <cell r="J30">
            <v>0</v>
          </cell>
          <cell r="L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Z30" t="str">
            <v>246-AVIMP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</row>
        <row r="31">
          <cell r="G31" t="str">
            <v>212-PREVE</v>
          </cell>
          <cell r="H31">
            <v>0</v>
          </cell>
          <cell r="J31">
            <v>0</v>
          </cell>
          <cell r="L31">
            <v>0</v>
          </cell>
          <cell r="N31">
            <v>0</v>
          </cell>
          <cell r="P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Z31" t="str">
            <v>212-PREVE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I31">
            <v>0</v>
          </cell>
          <cell r="AK31">
            <v>0</v>
          </cell>
        </row>
        <row r="32">
          <cell r="H32">
            <v>0</v>
          </cell>
          <cell r="J32">
            <v>0</v>
          </cell>
          <cell r="L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Z32" t="str">
            <v>VARI (274/275)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K32">
            <v>0</v>
          </cell>
        </row>
        <row r="33"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I33">
            <v>0</v>
          </cell>
          <cell r="AK33">
            <v>0</v>
          </cell>
        </row>
        <row r="34">
          <cell r="R34">
            <v>0</v>
          </cell>
        </row>
        <row r="35">
          <cell r="G35" t="str">
            <v>TOT. MANAGEMENT</v>
          </cell>
          <cell r="H35">
            <v>3200</v>
          </cell>
          <cell r="I35">
            <v>0</v>
          </cell>
          <cell r="J35">
            <v>3200</v>
          </cell>
          <cell r="K35">
            <v>3200</v>
          </cell>
          <cell r="L35">
            <v>8.3062500000000004</v>
          </cell>
          <cell r="M35">
            <v>61.375</v>
          </cell>
          <cell r="N35">
            <v>312</v>
          </cell>
          <cell r="O35">
            <v>1903</v>
          </cell>
          <cell r="P35">
            <v>1.1738148984198646</v>
          </cell>
          <cell r="Q35">
            <v>0.96894093686354377</v>
          </cell>
          <cell r="S35">
            <v>1236</v>
          </cell>
          <cell r="T35">
            <v>1447</v>
          </cell>
          <cell r="V35">
            <v>3350</v>
          </cell>
          <cell r="W35">
            <v>150</v>
          </cell>
          <cell r="Z35" t="str">
            <v>TOT. MANAGEMENT</v>
          </cell>
          <cell r="AA35">
            <v>3200</v>
          </cell>
          <cell r="AB35">
            <v>0</v>
          </cell>
          <cell r="AC35">
            <v>3200</v>
          </cell>
          <cell r="AD35">
            <v>1903</v>
          </cell>
          <cell r="AE35">
            <v>0.96894093686354377</v>
          </cell>
          <cell r="AF35">
            <v>1.1707119741100325</v>
          </cell>
          <cell r="AG35">
            <v>1.046875</v>
          </cell>
          <cell r="AH35">
            <v>1447</v>
          </cell>
          <cell r="AI35">
            <v>3350</v>
          </cell>
          <cell r="AK35">
            <v>150</v>
          </cell>
        </row>
        <row r="37">
          <cell r="G37" t="str">
            <v>261-COLL</v>
          </cell>
          <cell r="J37">
            <v>0</v>
          </cell>
          <cell r="L37">
            <v>0</v>
          </cell>
          <cell r="P37">
            <v>0</v>
          </cell>
          <cell r="Q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Z37" t="str">
            <v>261-COLL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K37">
            <v>0</v>
          </cell>
        </row>
        <row r="38">
          <cell r="G38" t="str">
            <v>262-TRADO</v>
          </cell>
          <cell r="J38">
            <v>0</v>
          </cell>
          <cell r="L38">
            <v>0</v>
          </cell>
          <cell r="N38">
            <v>0</v>
          </cell>
          <cell r="P38">
            <v>0</v>
          </cell>
          <cell r="Q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Z38" t="str">
            <v>262-TRADO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K38">
            <v>0</v>
          </cell>
        </row>
        <row r="39">
          <cell r="G39" t="str">
            <v>263-ACQUI</v>
          </cell>
          <cell r="J39">
            <v>0</v>
          </cell>
          <cell r="L39">
            <v>0</v>
          </cell>
          <cell r="N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Z39" t="str">
            <v>263-ACQUI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K39">
            <v>0</v>
          </cell>
        </row>
        <row r="40">
          <cell r="G40" t="str">
            <v>264-APPAL</v>
          </cell>
          <cell r="J40">
            <v>0</v>
          </cell>
          <cell r="L40">
            <v>0</v>
          </cell>
          <cell r="N40">
            <v>0</v>
          </cell>
          <cell r="P40">
            <v>0</v>
          </cell>
          <cell r="Q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Z40" t="str">
            <v>264-APPAL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K40">
            <v>0</v>
          </cell>
        </row>
        <row r="41">
          <cell r="Z41" t="str">
            <v xml:space="preserve"> </v>
          </cell>
        </row>
        <row r="42">
          <cell r="G42" t="str">
            <v>TOT. PROCUREMENT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Z42" t="str">
            <v>TOT. PROCUREMENT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K42">
            <v>0</v>
          </cell>
        </row>
        <row r="43">
          <cell r="G43" t="str">
            <v>TOT. PROGETTO</v>
          </cell>
          <cell r="H43">
            <v>43000</v>
          </cell>
          <cell r="I43">
            <v>0</v>
          </cell>
          <cell r="J43">
            <v>43000</v>
          </cell>
          <cell r="K43">
            <v>42300</v>
          </cell>
          <cell r="L43">
            <v>8.9096926713947937</v>
          </cell>
          <cell r="M43">
            <v>43.972104018912532</v>
          </cell>
          <cell r="N43">
            <v>3227</v>
          </cell>
          <cell r="O43">
            <v>14907</v>
          </cell>
          <cell r="P43">
            <v>0.85624071322436901</v>
          </cell>
          <cell r="Q43">
            <v>0.80144299523661033</v>
          </cell>
          <cell r="S43">
            <v>23699.8</v>
          </cell>
          <cell r="T43">
            <v>29713</v>
          </cell>
          <cell r="V43">
            <v>44620</v>
          </cell>
          <cell r="W43">
            <v>2320</v>
          </cell>
          <cell r="Z43" t="str">
            <v>TOT.  PROGETTO</v>
          </cell>
          <cell r="AA43">
            <v>43000</v>
          </cell>
          <cell r="AB43">
            <v>0</v>
          </cell>
          <cell r="AC43">
            <v>43000</v>
          </cell>
          <cell r="AD43">
            <v>14907</v>
          </cell>
          <cell r="AH43">
            <v>30413</v>
          </cell>
          <cell r="AI43">
            <v>45320</v>
          </cell>
          <cell r="AK43">
            <v>2320</v>
          </cell>
          <cell r="AL43" t="str">
            <v xml:space="preserve"> </v>
          </cell>
        </row>
        <row r="50">
          <cell r="T50" t="str">
            <v>Emesso</v>
          </cell>
          <cell r="U50" t="str">
            <v>:</v>
          </cell>
          <cell r="V50">
            <v>37021</v>
          </cell>
          <cell r="W50" t="str">
            <v xml:space="preserve"> </v>
          </cell>
        </row>
        <row r="51">
          <cell r="G51" t="str">
            <v xml:space="preserve">  TECNIMONT</v>
          </cell>
          <cell r="J51" t="str">
            <v>CENTRALE TERMOELETTRICA</v>
          </cell>
          <cell r="T51" t="str">
            <v xml:space="preserve"> Doc.          </v>
          </cell>
          <cell r="U51" t="str">
            <v>:</v>
          </cell>
          <cell r="V51" t="str">
            <v>2993 PZ RP B05 sh 3 of 3</v>
          </cell>
        </row>
        <row r="52">
          <cell r="G52">
            <v>0</v>
          </cell>
          <cell r="J52" t="str">
            <v>SITUAZIONE IMPEGNO RISORSE: DATI E RISULTATI BASE FASE B- ATTIVITA' PCS</v>
          </cell>
          <cell r="T52" t="str">
            <v>Aggiorn.</v>
          </cell>
          <cell r="U52" t="str">
            <v>:</v>
          </cell>
          <cell r="V52">
            <v>36991</v>
          </cell>
        </row>
        <row r="53">
          <cell r="T53" t="str">
            <v xml:space="preserve"> Checked</v>
          </cell>
          <cell r="U53" t="str">
            <v>:</v>
          </cell>
        </row>
        <row r="54">
          <cell r="G54" t="str">
            <v>Emesso :</v>
          </cell>
          <cell r="I54" t="str">
            <v xml:space="preserve"> PROGR</v>
          </cell>
          <cell r="J54" t="str">
            <v>Comm. TCM :</v>
          </cell>
          <cell r="K54">
            <v>2993.09</v>
          </cell>
          <cell r="L54" t="str">
            <v>Progetto :</v>
          </cell>
          <cell r="M54" t="str">
            <v>CENTRALE TERMOELETTRICA</v>
          </cell>
          <cell r="Q54" t="str">
            <v xml:space="preserve"> Cliente :</v>
          </cell>
          <cell r="R54" t="str">
            <v>EDISON</v>
          </cell>
          <cell r="T54" t="str">
            <v>Localita`</v>
          </cell>
          <cell r="U54" t="str">
            <v>:</v>
          </cell>
          <cell r="V54" t="str">
            <v>MARGHERA LEVANTE</v>
          </cell>
        </row>
        <row r="56">
          <cell r="G56" t="str">
            <v>CENTRO</v>
          </cell>
          <cell r="H56" t="str">
            <v xml:space="preserve"> </v>
          </cell>
          <cell r="I56" t="str">
            <v>BUDGET</v>
          </cell>
          <cell r="K56" t="str">
            <v>O R E</v>
          </cell>
          <cell r="L56" t="str">
            <v xml:space="preserve">  AVANZAMENTI %</v>
          </cell>
          <cell r="N56" t="str">
            <v xml:space="preserve"> CONSUNTIVI ORE</v>
          </cell>
          <cell r="P56" t="str">
            <v xml:space="preserve">  INDICI DI PRODUTTIVITA'</v>
          </cell>
          <cell r="S56" t="str">
            <v>ORE STD.</v>
          </cell>
          <cell r="T56" t="str">
            <v>ORE EFF.</v>
          </cell>
          <cell r="V56" t="str">
            <v>PRE</v>
          </cell>
        </row>
        <row r="57">
          <cell r="G57" t="str">
            <v>DI</v>
          </cell>
          <cell r="H57" t="str">
            <v>INIZIALE</v>
          </cell>
          <cell r="I57" t="str">
            <v>VARIANTI</v>
          </cell>
          <cell r="J57" t="str">
            <v>AGGIORNATO</v>
          </cell>
          <cell r="K57" t="str">
            <v>ATTIVITA`</v>
          </cell>
          <cell r="L57" t="str">
            <v>MENSILE</v>
          </cell>
          <cell r="M57" t="str">
            <v>PROGRESSIVO</v>
          </cell>
          <cell r="N57" t="str">
            <v>MENSILE</v>
          </cell>
          <cell r="O57" t="str">
            <v>PROGRESSIVO</v>
          </cell>
          <cell r="P57" t="str">
            <v>MENSILE</v>
          </cell>
          <cell r="Q57" t="str">
            <v>PROGRESSIVO</v>
          </cell>
          <cell r="R57" t="str">
            <v>A FINIRE</v>
          </cell>
          <cell r="S57" t="str">
            <v xml:space="preserve">  A FINIRE</v>
          </cell>
          <cell r="T57" t="str">
            <v xml:space="preserve">  A FINIRE</v>
          </cell>
          <cell r="V57" t="str">
            <v>CONSUNTIVO</v>
          </cell>
          <cell r="W57" t="str">
            <v xml:space="preserve">  DIFFERENZA</v>
          </cell>
        </row>
        <row r="58">
          <cell r="G58" t="str">
            <v>COSTO</v>
          </cell>
          <cell r="K58" t="str">
            <v>FINALE</v>
          </cell>
          <cell r="P58" t="str">
            <v>100x7/4x5</v>
          </cell>
          <cell r="Q58" t="str">
            <v>100x8/4x6</v>
          </cell>
          <cell r="R58" t="str">
            <v>(STIMA)</v>
          </cell>
          <cell r="S58" t="str">
            <v>4-4x6/100</v>
          </cell>
          <cell r="T58" t="str">
            <v>11x12</v>
          </cell>
          <cell r="V58" t="str">
            <v>8+13</v>
          </cell>
          <cell r="W58" t="str">
            <v>14-4</v>
          </cell>
        </row>
        <row r="59">
          <cell r="H59" t="str">
            <v>1</v>
          </cell>
          <cell r="I59" t="str">
            <v>2</v>
          </cell>
          <cell r="J59" t="str">
            <v>3=1+2</v>
          </cell>
          <cell r="K59" t="str">
            <v>4</v>
          </cell>
          <cell r="L59" t="str">
            <v>5</v>
          </cell>
          <cell r="M59" t="str">
            <v>6</v>
          </cell>
          <cell r="N59" t="str">
            <v>7</v>
          </cell>
          <cell r="O59" t="str">
            <v>8</v>
          </cell>
          <cell r="P59" t="str">
            <v>9</v>
          </cell>
          <cell r="Q59" t="str">
            <v>10</v>
          </cell>
          <cell r="R59" t="str">
            <v>11</v>
          </cell>
          <cell r="S59" t="str">
            <v>12</v>
          </cell>
          <cell r="T59" t="str">
            <v>13</v>
          </cell>
          <cell r="V59" t="str">
            <v>14</v>
          </cell>
          <cell r="W59" t="str">
            <v>15</v>
          </cell>
        </row>
        <row r="61">
          <cell r="G61" t="str">
            <v>220-SICIM</v>
          </cell>
          <cell r="K61">
            <v>50</v>
          </cell>
          <cell r="M61">
            <v>0</v>
          </cell>
          <cell r="O61">
            <v>0</v>
          </cell>
          <cell r="P61">
            <v>0</v>
          </cell>
          <cell r="Q61">
            <v>0</v>
          </cell>
          <cell r="R61">
            <v>1</v>
          </cell>
          <cell r="S61">
            <v>50</v>
          </cell>
          <cell r="T61">
            <v>50</v>
          </cell>
          <cell r="V61">
            <v>50</v>
          </cell>
          <cell r="W61">
            <v>0</v>
          </cell>
        </row>
        <row r="62">
          <cell r="G62" t="str">
            <v>221-IMPGE</v>
          </cell>
          <cell r="K62">
            <v>350</v>
          </cell>
          <cell r="M62">
            <v>0</v>
          </cell>
          <cell r="O62">
            <v>0</v>
          </cell>
          <cell r="P62">
            <v>0</v>
          </cell>
          <cell r="Q62">
            <v>0</v>
          </cell>
          <cell r="R62">
            <v>1</v>
          </cell>
          <cell r="S62">
            <v>350</v>
          </cell>
          <cell r="T62">
            <v>350</v>
          </cell>
          <cell r="V62">
            <v>350</v>
          </cell>
          <cell r="W62">
            <v>0</v>
          </cell>
        </row>
        <row r="63">
          <cell r="G63" t="str">
            <v>222-CALFO</v>
          </cell>
          <cell r="M63">
            <v>0</v>
          </cell>
          <cell r="O63">
            <v>0</v>
          </cell>
          <cell r="P63">
            <v>0</v>
          </cell>
          <cell r="Q63">
            <v>0</v>
          </cell>
          <cell r="R63">
            <v>1</v>
          </cell>
          <cell r="S63">
            <v>0</v>
          </cell>
          <cell r="T63">
            <v>0</v>
          </cell>
          <cell r="V63">
            <v>0</v>
          </cell>
          <cell r="W63">
            <v>0</v>
          </cell>
        </row>
        <row r="64">
          <cell r="G64" t="str">
            <v>223-MACCH</v>
          </cell>
          <cell r="M64">
            <v>0</v>
          </cell>
          <cell r="O64">
            <v>0</v>
          </cell>
          <cell r="P64">
            <v>0</v>
          </cell>
          <cell r="Q64">
            <v>0</v>
          </cell>
          <cell r="R64">
            <v>1</v>
          </cell>
          <cell r="S64">
            <v>0</v>
          </cell>
          <cell r="T64">
            <v>0</v>
          </cell>
          <cell r="V64">
            <v>0</v>
          </cell>
          <cell r="W64">
            <v>0</v>
          </cell>
        </row>
        <row r="65">
          <cell r="G65" t="str">
            <v>225-EDILE</v>
          </cell>
          <cell r="M65">
            <v>0</v>
          </cell>
          <cell r="O65">
            <v>0</v>
          </cell>
          <cell r="P65">
            <v>0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V65">
            <v>0</v>
          </cell>
          <cell r="W65">
            <v>0</v>
          </cell>
        </row>
        <row r="66">
          <cell r="G66" t="str">
            <v>226-ELETT</v>
          </cell>
          <cell r="M66">
            <v>0</v>
          </cell>
          <cell r="O66">
            <v>0</v>
          </cell>
          <cell r="P66">
            <v>0</v>
          </cell>
          <cell r="Q66">
            <v>0</v>
          </cell>
          <cell r="R66">
            <v>1</v>
          </cell>
          <cell r="S66">
            <v>0</v>
          </cell>
          <cell r="T66">
            <v>0</v>
          </cell>
          <cell r="V66">
            <v>0</v>
          </cell>
          <cell r="W66">
            <v>0</v>
          </cell>
        </row>
        <row r="67">
          <cell r="G67" t="str">
            <v>227-STRUM</v>
          </cell>
          <cell r="K67">
            <v>300</v>
          </cell>
          <cell r="M67">
            <v>0</v>
          </cell>
          <cell r="O67">
            <v>0</v>
          </cell>
          <cell r="P67">
            <v>0</v>
          </cell>
          <cell r="Q67">
            <v>0</v>
          </cell>
          <cell r="R67">
            <v>1</v>
          </cell>
          <cell r="S67">
            <v>300</v>
          </cell>
          <cell r="T67">
            <v>300</v>
          </cell>
          <cell r="V67">
            <v>300</v>
          </cell>
          <cell r="W67">
            <v>0</v>
          </cell>
        </row>
        <row r="68">
          <cell r="G68" t="str">
            <v>240-PROCS</v>
          </cell>
          <cell r="M68">
            <v>0</v>
          </cell>
          <cell r="O68">
            <v>0</v>
          </cell>
          <cell r="P68">
            <v>0</v>
          </cell>
          <cell r="Q68">
            <v>0</v>
          </cell>
          <cell r="R68">
            <v>1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</row>
        <row r="69">
          <cell r="G69" t="str">
            <v>247-AUSI</v>
          </cell>
          <cell r="M69">
            <v>0</v>
          </cell>
          <cell r="O69">
            <v>0</v>
          </cell>
          <cell r="P69">
            <v>0</v>
          </cell>
          <cell r="Q69">
            <v>0</v>
          </cell>
          <cell r="R69">
            <v>1</v>
          </cell>
          <cell r="S69">
            <v>0</v>
          </cell>
          <cell r="T69">
            <v>0</v>
          </cell>
          <cell r="V69">
            <v>0</v>
          </cell>
          <cell r="W69">
            <v>0</v>
          </cell>
        </row>
        <row r="70">
          <cell r="J70">
            <v>0</v>
          </cell>
          <cell r="M70">
            <v>0</v>
          </cell>
          <cell r="O70">
            <v>0</v>
          </cell>
          <cell r="P70">
            <v>0</v>
          </cell>
          <cell r="Q70">
            <v>0</v>
          </cell>
          <cell r="R70">
            <v>1</v>
          </cell>
          <cell r="S70">
            <v>0</v>
          </cell>
          <cell r="T70">
            <v>0</v>
          </cell>
          <cell r="V70">
            <v>0</v>
          </cell>
          <cell r="W70">
            <v>0</v>
          </cell>
        </row>
        <row r="71">
          <cell r="H71">
            <v>0</v>
          </cell>
        </row>
        <row r="72">
          <cell r="G72" t="str">
            <v>TOT.ING.</v>
          </cell>
          <cell r="H72">
            <v>0</v>
          </cell>
          <cell r="I72">
            <v>0</v>
          </cell>
          <cell r="J72">
            <v>0</v>
          </cell>
          <cell r="K72">
            <v>700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S72">
            <v>700</v>
          </cell>
          <cell r="T72">
            <v>700</v>
          </cell>
          <cell r="V72">
            <v>700</v>
          </cell>
          <cell r="W72">
            <v>0</v>
          </cell>
        </row>
        <row r="74">
          <cell r="G74" t="str">
            <v>247-COIMP</v>
          </cell>
          <cell r="J74">
            <v>0</v>
          </cell>
          <cell r="M74">
            <v>0</v>
          </cell>
          <cell r="O74">
            <v>0</v>
          </cell>
          <cell r="P74">
            <v>0</v>
          </cell>
          <cell r="Q74">
            <v>0</v>
          </cell>
          <cell r="R74">
            <v>1</v>
          </cell>
          <cell r="S74">
            <v>0</v>
          </cell>
          <cell r="T74">
            <v>0</v>
          </cell>
          <cell r="V74">
            <v>0</v>
          </cell>
          <cell r="W74">
            <v>0</v>
          </cell>
        </row>
        <row r="75">
          <cell r="G75" t="str">
            <v>230/1-LAV</v>
          </cell>
          <cell r="J75">
            <v>0</v>
          </cell>
          <cell r="M75">
            <v>0</v>
          </cell>
          <cell r="O75">
            <v>0</v>
          </cell>
          <cell r="P75">
            <v>0</v>
          </cell>
          <cell r="Q75">
            <v>0</v>
          </cell>
          <cell r="R75">
            <v>1</v>
          </cell>
          <cell r="S75">
            <v>0</v>
          </cell>
          <cell r="T75">
            <v>0</v>
          </cell>
          <cell r="V75">
            <v>0</v>
          </cell>
          <cell r="W75">
            <v>0</v>
          </cell>
        </row>
        <row r="76">
          <cell r="G76" t="str">
            <v>214-PROGR</v>
          </cell>
          <cell r="J76">
            <v>0</v>
          </cell>
          <cell r="M76">
            <v>0</v>
          </cell>
          <cell r="O76">
            <v>0</v>
          </cell>
          <cell r="P76">
            <v>0</v>
          </cell>
          <cell r="Q76">
            <v>0</v>
          </cell>
          <cell r="R76">
            <v>1</v>
          </cell>
          <cell r="S76">
            <v>0</v>
          </cell>
          <cell r="T76">
            <v>0</v>
          </cell>
          <cell r="V76">
            <v>0</v>
          </cell>
          <cell r="W76">
            <v>0</v>
          </cell>
        </row>
        <row r="77">
          <cell r="G77" t="str">
            <v>268-GEPRO</v>
          </cell>
          <cell r="J77">
            <v>0</v>
          </cell>
          <cell r="M77">
            <v>0</v>
          </cell>
          <cell r="O77">
            <v>0</v>
          </cell>
          <cell r="P77">
            <v>0</v>
          </cell>
          <cell r="Q77">
            <v>0</v>
          </cell>
          <cell r="R77">
            <v>1</v>
          </cell>
          <cell r="S77">
            <v>0</v>
          </cell>
          <cell r="T77">
            <v>0</v>
          </cell>
          <cell r="V77">
            <v>0</v>
          </cell>
          <cell r="W77">
            <v>0</v>
          </cell>
        </row>
        <row r="78">
          <cell r="G78" t="str">
            <v>229-GESIN</v>
          </cell>
          <cell r="M78">
            <v>0</v>
          </cell>
          <cell r="O78">
            <v>0</v>
          </cell>
          <cell r="P78">
            <v>0</v>
          </cell>
          <cell r="Q78">
            <v>0</v>
          </cell>
          <cell r="R78">
            <v>1</v>
          </cell>
          <cell r="S78">
            <v>0</v>
          </cell>
          <cell r="T78">
            <v>0</v>
          </cell>
          <cell r="V78">
            <v>0</v>
          </cell>
          <cell r="W78">
            <v>0</v>
          </cell>
        </row>
        <row r="79">
          <cell r="G79" t="str">
            <v>246-AVIMP</v>
          </cell>
          <cell r="J79">
            <v>0</v>
          </cell>
          <cell r="M79">
            <v>0</v>
          </cell>
          <cell r="O79">
            <v>0</v>
          </cell>
          <cell r="P79">
            <v>0</v>
          </cell>
          <cell r="Q79">
            <v>0</v>
          </cell>
          <cell r="R79">
            <v>1</v>
          </cell>
          <cell r="S79">
            <v>0</v>
          </cell>
          <cell r="T79">
            <v>0</v>
          </cell>
          <cell r="V79">
            <v>0</v>
          </cell>
          <cell r="W79">
            <v>0</v>
          </cell>
        </row>
        <row r="80">
          <cell r="G80" t="str">
            <v>212-PREVE</v>
          </cell>
          <cell r="J80">
            <v>0</v>
          </cell>
          <cell r="M80">
            <v>0</v>
          </cell>
          <cell r="O80">
            <v>0</v>
          </cell>
          <cell r="P80">
            <v>0</v>
          </cell>
          <cell r="Q80">
            <v>0</v>
          </cell>
          <cell r="S80">
            <v>0</v>
          </cell>
          <cell r="T80">
            <v>0</v>
          </cell>
          <cell r="V80">
            <v>0</v>
          </cell>
          <cell r="W80">
            <v>0</v>
          </cell>
        </row>
        <row r="81">
          <cell r="G81" t="str">
            <v>VARI(*)</v>
          </cell>
        </row>
        <row r="83">
          <cell r="G83" t="str">
            <v>TOT.MNG.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S83">
            <v>0</v>
          </cell>
          <cell r="T83">
            <v>0</v>
          </cell>
          <cell r="V83">
            <v>0</v>
          </cell>
          <cell r="W83">
            <v>0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700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S84">
            <v>700</v>
          </cell>
          <cell r="T84">
            <v>700</v>
          </cell>
          <cell r="V84">
            <v>700</v>
          </cell>
          <cell r="W84">
            <v>0</v>
          </cell>
        </row>
        <row r="86">
          <cell r="G86" t="str">
            <v>261-COLL</v>
          </cell>
          <cell r="J86">
            <v>0</v>
          </cell>
          <cell r="M86">
            <v>0</v>
          </cell>
          <cell r="O86">
            <v>0</v>
          </cell>
          <cell r="P86">
            <v>0</v>
          </cell>
          <cell r="Q86">
            <v>0</v>
          </cell>
          <cell r="R86">
            <v>1</v>
          </cell>
          <cell r="S86">
            <v>0</v>
          </cell>
          <cell r="T86">
            <v>0</v>
          </cell>
          <cell r="V86">
            <v>0</v>
          </cell>
          <cell r="W86">
            <v>0</v>
          </cell>
        </row>
        <row r="87">
          <cell r="G87" t="str">
            <v>262-TRADO</v>
          </cell>
          <cell r="J87">
            <v>0</v>
          </cell>
          <cell r="K87">
            <v>0</v>
          </cell>
          <cell r="M87">
            <v>0</v>
          </cell>
          <cell r="O87">
            <v>0</v>
          </cell>
          <cell r="P87">
            <v>0</v>
          </cell>
          <cell r="Q87">
            <v>0</v>
          </cell>
          <cell r="R87">
            <v>1</v>
          </cell>
          <cell r="S87">
            <v>0</v>
          </cell>
          <cell r="T87">
            <v>0</v>
          </cell>
          <cell r="V87">
            <v>0</v>
          </cell>
          <cell r="W87">
            <v>0</v>
          </cell>
        </row>
        <row r="88">
          <cell r="G88" t="str">
            <v>263-ACQUI</v>
          </cell>
          <cell r="J88">
            <v>0</v>
          </cell>
          <cell r="K88">
            <v>0</v>
          </cell>
          <cell r="M88">
            <v>0</v>
          </cell>
          <cell r="O88">
            <v>0</v>
          </cell>
          <cell r="P88">
            <v>0</v>
          </cell>
          <cell r="Q88">
            <v>0</v>
          </cell>
          <cell r="R88">
            <v>1</v>
          </cell>
          <cell r="S88">
            <v>0</v>
          </cell>
          <cell r="T88">
            <v>0</v>
          </cell>
          <cell r="V88">
            <v>0</v>
          </cell>
          <cell r="W88">
            <v>0</v>
          </cell>
        </row>
        <row r="89">
          <cell r="G89" t="str">
            <v>264-APPAL</v>
          </cell>
          <cell r="H89">
            <v>0</v>
          </cell>
          <cell r="J89">
            <v>0</v>
          </cell>
          <cell r="K89">
            <v>0</v>
          </cell>
          <cell r="M89">
            <v>0</v>
          </cell>
          <cell r="O89">
            <v>0</v>
          </cell>
          <cell r="P89">
            <v>0</v>
          </cell>
          <cell r="Q89">
            <v>0</v>
          </cell>
          <cell r="R89">
            <v>1</v>
          </cell>
          <cell r="S89">
            <v>0</v>
          </cell>
          <cell r="T89">
            <v>0</v>
          </cell>
          <cell r="V89">
            <v>0</v>
          </cell>
          <cell r="W89">
            <v>0</v>
          </cell>
        </row>
        <row r="91">
          <cell r="G91" t="str">
            <v>TOT.PROC.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 t="str">
            <v xml:space="preserve"> 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S91">
            <v>0</v>
          </cell>
          <cell r="T91">
            <v>0</v>
          </cell>
          <cell r="V91">
            <v>0</v>
          </cell>
          <cell r="W91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Y78"/>
  <sheetViews>
    <sheetView zoomScaleNormal="100" zoomScaleSheetLayoutView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5703125" style="1" customWidth="1"/>
    <col min="6" max="6" width="13.7109375" style="1" hidden="1" customWidth="1"/>
    <col min="7" max="24" width="8.7109375" customWidth="1"/>
  </cols>
  <sheetData>
    <row r="1" spans="1:233" ht="21.75" customHeight="1">
      <c r="A1" s="17"/>
      <c r="B1" s="17"/>
      <c r="C1" s="17"/>
      <c r="D1" s="98" t="s">
        <v>34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8"/>
      <c r="T1" s="8"/>
      <c r="U1" s="26" t="s">
        <v>13</v>
      </c>
      <c r="V1" s="95" t="s">
        <v>21</v>
      </c>
      <c r="W1" s="95"/>
      <c r="X1" s="95"/>
    </row>
    <row r="2" spans="1:233" ht="21.75" customHeight="1">
      <c r="A2" s="17"/>
      <c r="B2" s="17"/>
      <c r="C2" s="17"/>
      <c r="D2" s="98" t="s">
        <v>12</v>
      </c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8"/>
      <c r="T2" s="8"/>
      <c r="U2" s="26" t="s">
        <v>14</v>
      </c>
      <c r="V2" s="96">
        <f>Engg!U2</f>
        <v>0</v>
      </c>
      <c r="W2" s="96"/>
      <c r="X2" s="96"/>
    </row>
    <row r="3" spans="1:233" ht="21.75" customHeight="1">
      <c r="A3" s="8"/>
      <c r="B3" s="8"/>
      <c r="C3" s="8"/>
      <c r="D3" s="99" t="s">
        <v>20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"/>
      <c r="T3" s="9"/>
      <c r="U3" s="26" t="s">
        <v>15</v>
      </c>
      <c r="V3" s="97">
        <f>Engg!U3</f>
        <v>0</v>
      </c>
      <c r="W3" s="97"/>
      <c r="X3" s="97"/>
    </row>
    <row r="4" spans="1:233" s="2" customFormat="1" ht="8.25" customHeight="1" thickBot="1">
      <c r="A4" s="17"/>
      <c r="B4" s="17"/>
      <c r="C4" s="1"/>
      <c r="D4" s="27"/>
      <c r="E4" s="10"/>
      <c r="F4" s="10"/>
      <c r="G4" s="11"/>
      <c r="H4" s="13"/>
      <c r="I4"/>
      <c r="J4"/>
      <c r="K4"/>
      <c r="L4"/>
      <c r="M4"/>
      <c r="N4" s="6"/>
      <c r="O4" s="6"/>
      <c r="P4" s="16"/>
      <c r="Q4" s="5"/>
      <c r="R4"/>
      <c r="S4"/>
      <c r="T4"/>
      <c r="U4"/>
      <c r="V4"/>
      <c r="W4"/>
      <c r="X4"/>
    </row>
    <row r="5" spans="1:233" ht="14.1" customHeight="1" thickBot="1">
      <c r="A5" s="100" t="s">
        <v>11</v>
      </c>
      <c r="B5" s="101"/>
      <c r="C5" s="15" t="s">
        <v>1</v>
      </c>
      <c r="D5" s="31"/>
      <c r="E5" s="12" t="s">
        <v>0</v>
      </c>
      <c r="F5" s="15" t="s">
        <v>2</v>
      </c>
      <c r="G5" s="40">
        <f>Engg!F5</f>
        <v>0</v>
      </c>
      <c r="H5" s="40">
        <f>Engg!G5</f>
        <v>0</v>
      </c>
      <c r="I5" s="40">
        <f>Engg!H5</f>
        <v>0</v>
      </c>
      <c r="J5" s="40">
        <f>Engg!I5</f>
        <v>0</v>
      </c>
      <c r="K5" s="40">
        <f>Engg!J5</f>
        <v>0</v>
      </c>
      <c r="L5" s="40">
        <f>Engg!K5</f>
        <v>0</v>
      </c>
      <c r="M5" s="40">
        <f>Engg!L5</f>
        <v>0</v>
      </c>
      <c r="N5" s="40">
        <f>Engg!M5</f>
        <v>0</v>
      </c>
      <c r="O5" s="40">
        <f>Engg!N5</f>
        <v>0</v>
      </c>
      <c r="P5" s="40">
        <f>Engg!O5</f>
        <v>0</v>
      </c>
      <c r="Q5" s="40">
        <f>Engg!P5</f>
        <v>0</v>
      </c>
      <c r="R5" s="40">
        <f>Engg!Q5</f>
        <v>0</v>
      </c>
      <c r="S5" s="40">
        <f>Engg!R5</f>
        <v>0</v>
      </c>
      <c r="T5" s="40">
        <f>Engg!S5</f>
        <v>0</v>
      </c>
      <c r="U5" s="40">
        <f>Engg!T5</f>
        <v>0</v>
      </c>
      <c r="V5" s="40">
        <f>Engg!U5</f>
        <v>0</v>
      </c>
      <c r="W5" s="40">
        <f>Engg!V5</f>
        <v>0</v>
      </c>
      <c r="X5" s="41">
        <f>Engg!W5</f>
        <v>0</v>
      </c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spans="1:233" s="4" customFormat="1" ht="14.1" customHeight="1">
      <c r="A6" s="92" t="s">
        <v>0</v>
      </c>
      <c r="B6" s="102"/>
      <c r="C6" s="38" t="s">
        <v>38</v>
      </c>
      <c r="D6" s="23" t="s">
        <v>4</v>
      </c>
      <c r="E6" s="55">
        <f>SUM(G6:X6)</f>
        <v>0</v>
      </c>
      <c r="F6" s="83"/>
      <c r="G6" s="67">
        <f t="shared" ref="G6:P12" si="0">SUMIF($D$19:$D$70,$D6,G$19:G$70)</f>
        <v>0</v>
      </c>
      <c r="H6" s="68">
        <f t="shared" si="0"/>
        <v>0</v>
      </c>
      <c r="I6" s="53">
        <f t="shared" si="0"/>
        <v>0</v>
      </c>
      <c r="J6" s="53">
        <f t="shared" si="0"/>
        <v>0</v>
      </c>
      <c r="K6" s="53">
        <f t="shared" si="0"/>
        <v>0</v>
      </c>
      <c r="L6" s="53">
        <f t="shared" si="0"/>
        <v>0</v>
      </c>
      <c r="M6" s="53">
        <f t="shared" si="0"/>
        <v>0</v>
      </c>
      <c r="N6" s="53">
        <f t="shared" si="0"/>
        <v>0</v>
      </c>
      <c r="O6" s="53">
        <f t="shared" si="0"/>
        <v>0</v>
      </c>
      <c r="P6" s="53">
        <f t="shared" si="0"/>
        <v>0</v>
      </c>
      <c r="Q6" s="53">
        <f t="shared" ref="Q6:X12" si="1">SUMIF($D$19:$D$70,$D6,Q$19:Q$70)</f>
        <v>0</v>
      </c>
      <c r="R6" s="53">
        <f t="shared" si="1"/>
        <v>0</v>
      </c>
      <c r="S6" s="53">
        <f t="shared" si="1"/>
        <v>0</v>
      </c>
      <c r="T6" s="53">
        <f t="shared" si="1"/>
        <v>0</v>
      </c>
      <c r="U6" s="53">
        <f t="shared" si="1"/>
        <v>0</v>
      </c>
      <c r="V6" s="53">
        <f t="shared" si="1"/>
        <v>0</v>
      </c>
      <c r="W6" s="53">
        <f t="shared" si="1"/>
        <v>0</v>
      </c>
      <c r="X6" s="54">
        <f t="shared" si="1"/>
        <v>0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</row>
    <row r="7" spans="1:233" s="4" customFormat="1" ht="14.1" customHeight="1">
      <c r="A7" s="93"/>
      <c r="B7" s="103"/>
      <c r="C7" s="38" t="s">
        <v>39</v>
      </c>
      <c r="D7" s="42" t="s">
        <v>5</v>
      </c>
      <c r="E7" s="55">
        <f t="shared" ref="E7:E17" si="2">SUM(G7:X7)</f>
        <v>0</v>
      </c>
      <c r="F7" s="46"/>
      <c r="G7" s="67">
        <f t="shared" si="0"/>
        <v>0</v>
      </c>
      <c r="H7" s="68">
        <f t="shared" si="0"/>
        <v>0</v>
      </c>
      <c r="I7" s="53">
        <f t="shared" si="0"/>
        <v>0</v>
      </c>
      <c r="J7" s="53">
        <f t="shared" si="0"/>
        <v>0</v>
      </c>
      <c r="K7" s="53">
        <f t="shared" si="0"/>
        <v>0</v>
      </c>
      <c r="L7" s="53">
        <f t="shared" si="0"/>
        <v>0</v>
      </c>
      <c r="M7" s="53">
        <f t="shared" si="0"/>
        <v>0</v>
      </c>
      <c r="N7" s="53">
        <f t="shared" si="0"/>
        <v>0</v>
      </c>
      <c r="O7" s="53">
        <f t="shared" si="0"/>
        <v>0</v>
      </c>
      <c r="P7" s="53">
        <f t="shared" si="0"/>
        <v>0</v>
      </c>
      <c r="Q7" s="53">
        <f t="shared" si="1"/>
        <v>0</v>
      </c>
      <c r="R7" s="53">
        <f t="shared" si="1"/>
        <v>0</v>
      </c>
      <c r="S7" s="53">
        <f t="shared" si="1"/>
        <v>0</v>
      </c>
      <c r="T7" s="53">
        <f t="shared" si="1"/>
        <v>0</v>
      </c>
      <c r="U7" s="53">
        <f t="shared" si="1"/>
        <v>0</v>
      </c>
      <c r="V7" s="53">
        <f t="shared" si="1"/>
        <v>0</v>
      </c>
      <c r="W7" s="53">
        <f t="shared" si="1"/>
        <v>0</v>
      </c>
      <c r="X7" s="54">
        <f t="shared" si="1"/>
        <v>0</v>
      </c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</row>
    <row r="8" spans="1:233" s="4" customFormat="1" ht="14.1" customHeight="1">
      <c r="A8" s="93"/>
      <c r="B8" s="103"/>
      <c r="C8" s="38" t="s">
        <v>40</v>
      </c>
      <c r="D8" s="42" t="s">
        <v>6</v>
      </c>
      <c r="E8" s="55">
        <f t="shared" si="2"/>
        <v>0</v>
      </c>
      <c r="F8" s="46"/>
      <c r="G8" s="67">
        <f t="shared" si="0"/>
        <v>0</v>
      </c>
      <c r="H8" s="68">
        <f t="shared" si="0"/>
        <v>0</v>
      </c>
      <c r="I8" s="53">
        <f t="shared" si="0"/>
        <v>0</v>
      </c>
      <c r="J8" s="53">
        <f t="shared" si="0"/>
        <v>0</v>
      </c>
      <c r="K8" s="53">
        <f t="shared" si="0"/>
        <v>0</v>
      </c>
      <c r="L8" s="53">
        <f t="shared" si="0"/>
        <v>0</v>
      </c>
      <c r="M8" s="53">
        <f t="shared" si="0"/>
        <v>0</v>
      </c>
      <c r="N8" s="53">
        <f t="shared" si="0"/>
        <v>0</v>
      </c>
      <c r="O8" s="53">
        <f t="shared" si="0"/>
        <v>0</v>
      </c>
      <c r="P8" s="53">
        <f t="shared" si="0"/>
        <v>0</v>
      </c>
      <c r="Q8" s="53">
        <f t="shared" si="1"/>
        <v>0</v>
      </c>
      <c r="R8" s="53">
        <f t="shared" si="1"/>
        <v>0</v>
      </c>
      <c r="S8" s="53">
        <f t="shared" si="1"/>
        <v>0</v>
      </c>
      <c r="T8" s="53">
        <f t="shared" si="1"/>
        <v>0</v>
      </c>
      <c r="U8" s="53">
        <f t="shared" si="1"/>
        <v>0</v>
      </c>
      <c r="V8" s="53">
        <f t="shared" si="1"/>
        <v>0</v>
      </c>
      <c r="W8" s="53">
        <f t="shared" si="1"/>
        <v>0</v>
      </c>
      <c r="X8" s="54">
        <f t="shared" si="1"/>
        <v>0</v>
      </c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</row>
    <row r="9" spans="1:233" s="4" customFormat="1" ht="14.1" customHeight="1">
      <c r="A9" s="93"/>
      <c r="B9" s="103"/>
      <c r="C9" s="38" t="s">
        <v>41</v>
      </c>
      <c r="D9" s="24" t="s">
        <v>7</v>
      </c>
      <c r="E9" s="55">
        <f t="shared" si="2"/>
        <v>0</v>
      </c>
      <c r="F9" s="46"/>
      <c r="G9" s="51">
        <f t="shared" si="0"/>
        <v>0</v>
      </c>
      <c r="H9" s="52">
        <f t="shared" si="0"/>
        <v>0</v>
      </c>
      <c r="I9" s="53">
        <f t="shared" si="0"/>
        <v>0</v>
      </c>
      <c r="J9" s="53">
        <f t="shared" si="0"/>
        <v>0</v>
      </c>
      <c r="K9" s="53">
        <f t="shared" si="0"/>
        <v>0</v>
      </c>
      <c r="L9" s="53">
        <f t="shared" si="0"/>
        <v>0</v>
      </c>
      <c r="M9" s="53">
        <f t="shared" si="0"/>
        <v>0</v>
      </c>
      <c r="N9" s="53">
        <f t="shared" si="0"/>
        <v>0</v>
      </c>
      <c r="O9" s="53">
        <f t="shared" si="0"/>
        <v>0</v>
      </c>
      <c r="P9" s="53">
        <f t="shared" si="0"/>
        <v>0</v>
      </c>
      <c r="Q9" s="53">
        <f t="shared" si="1"/>
        <v>0</v>
      </c>
      <c r="R9" s="53">
        <f t="shared" si="1"/>
        <v>0</v>
      </c>
      <c r="S9" s="53">
        <f t="shared" si="1"/>
        <v>0</v>
      </c>
      <c r="T9" s="53">
        <f t="shared" si="1"/>
        <v>0</v>
      </c>
      <c r="U9" s="53">
        <f t="shared" si="1"/>
        <v>0</v>
      </c>
      <c r="V9" s="53">
        <f t="shared" si="1"/>
        <v>0</v>
      </c>
      <c r="W9" s="53">
        <f t="shared" si="1"/>
        <v>0</v>
      </c>
      <c r="X9" s="54">
        <f t="shared" si="1"/>
        <v>0</v>
      </c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</row>
    <row r="10" spans="1:233" s="4" customFormat="1" ht="14.1" customHeight="1">
      <c r="A10" s="93"/>
      <c r="B10" s="103"/>
      <c r="C10" s="38" t="s">
        <v>44</v>
      </c>
      <c r="D10" s="24" t="s">
        <v>8</v>
      </c>
      <c r="E10" s="55">
        <f t="shared" si="2"/>
        <v>0</v>
      </c>
      <c r="F10" s="46"/>
      <c r="G10" s="51">
        <f t="shared" si="0"/>
        <v>0</v>
      </c>
      <c r="H10" s="52">
        <f t="shared" si="0"/>
        <v>0</v>
      </c>
      <c r="I10" s="53">
        <f t="shared" si="0"/>
        <v>0</v>
      </c>
      <c r="J10" s="53">
        <f t="shared" si="0"/>
        <v>0</v>
      </c>
      <c r="K10" s="53">
        <f t="shared" si="0"/>
        <v>0</v>
      </c>
      <c r="L10" s="53">
        <f t="shared" si="0"/>
        <v>0</v>
      </c>
      <c r="M10" s="53">
        <f t="shared" si="0"/>
        <v>0</v>
      </c>
      <c r="N10" s="53">
        <f t="shared" si="0"/>
        <v>0</v>
      </c>
      <c r="O10" s="53">
        <f t="shared" si="0"/>
        <v>0</v>
      </c>
      <c r="P10" s="53">
        <f t="shared" si="0"/>
        <v>0</v>
      </c>
      <c r="Q10" s="53">
        <f t="shared" si="1"/>
        <v>0</v>
      </c>
      <c r="R10" s="53">
        <f t="shared" si="1"/>
        <v>0</v>
      </c>
      <c r="S10" s="53">
        <f t="shared" si="1"/>
        <v>0</v>
      </c>
      <c r="T10" s="53">
        <f t="shared" si="1"/>
        <v>0</v>
      </c>
      <c r="U10" s="53">
        <f t="shared" si="1"/>
        <v>0</v>
      </c>
      <c r="V10" s="53">
        <f t="shared" si="1"/>
        <v>0</v>
      </c>
      <c r="W10" s="53">
        <f t="shared" si="1"/>
        <v>0</v>
      </c>
      <c r="X10" s="54">
        <f t="shared" si="1"/>
        <v>0</v>
      </c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</row>
    <row r="11" spans="1:233" s="4" customFormat="1" ht="14.1" customHeight="1">
      <c r="A11" s="93"/>
      <c r="B11" s="103"/>
      <c r="C11" s="38" t="s">
        <v>45</v>
      </c>
      <c r="D11" s="24" t="s">
        <v>29</v>
      </c>
      <c r="E11" s="55">
        <f t="shared" si="2"/>
        <v>0</v>
      </c>
      <c r="F11" s="46"/>
      <c r="G11" s="51">
        <f t="shared" si="0"/>
        <v>0</v>
      </c>
      <c r="H11" s="52">
        <f t="shared" si="0"/>
        <v>0</v>
      </c>
      <c r="I11" s="53">
        <f t="shared" si="0"/>
        <v>0</v>
      </c>
      <c r="J11" s="53">
        <f t="shared" si="0"/>
        <v>0</v>
      </c>
      <c r="K11" s="53">
        <f t="shared" si="0"/>
        <v>0</v>
      </c>
      <c r="L11" s="53">
        <f t="shared" si="0"/>
        <v>0</v>
      </c>
      <c r="M11" s="53">
        <f t="shared" si="0"/>
        <v>0</v>
      </c>
      <c r="N11" s="53">
        <f t="shared" si="0"/>
        <v>0</v>
      </c>
      <c r="O11" s="53">
        <f t="shared" si="0"/>
        <v>0</v>
      </c>
      <c r="P11" s="53">
        <f t="shared" si="0"/>
        <v>0</v>
      </c>
      <c r="Q11" s="53">
        <f t="shared" si="1"/>
        <v>0</v>
      </c>
      <c r="R11" s="53">
        <f t="shared" si="1"/>
        <v>0</v>
      </c>
      <c r="S11" s="53">
        <f t="shared" si="1"/>
        <v>0</v>
      </c>
      <c r="T11" s="53">
        <f t="shared" si="1"/>
        <v>0</v>
      </c>
      <c r="U11" s="53">
        <f t="shared" si="1"/>
        <v>0</v>
      </c>
      <c r="V11" s="53">
        <f t="shared" si="1"/>
        <v>0</v>
      </c>
      <c r="W11" s="53">
        <f t="shared" si="1"/>
        <v>0</v>
      </c>
      <c r="X11" s="54">
        <f t="shared" si="1"/>
        <v>0</v>
      </c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</row>
    <row r="12" spans="1:233" s="4" customFormat="1" ht="14.1" customHeight="1">
      <c r="A12" s="93"/>
      <c r="B12" s="103"/>
      <c r="C12" s="38" t="s">
        <v>46</v>
      </c>
      <c r="D12" s="24" t="s">
        <v>30</v>
      </c>
      <c r="E12" s="55">
        <f t="shared" si="2"/>
        <v>0</v>
      </c>
      <c r="F12" s="46"/>
      <c r="G12" s="51">
        <f t="shared" si="0"/>
        <v>0</v>
      </c>
      <c r="H12" s="52">
        <f t="shared" si="0"/>
        <v>0</v>
      </c>
      <c r="I12" s="53">
        <f t="shared" si="0"/>
        <v>0</v>
      </c>
      <c r="J12" s="53">
        <f t="shared" si="0"/>
        <v>0</v>
      </c>
      <c r="K12" s="53">
        <f t="shared" si="0"/>
        <v>0</v>
      </c>
      <c r="L12" s="53">
        <f t="shared" si="0"/>
        <v>0</v>
      </c>
      <c r="M12" s="53">
        <f t="shared" si="0"/>
        <v>0</v>
      </c>
      <c r="N12" s="53">
        <f t="shared" si="0"/>
        <v>0</v>
      </c>
      <c r="O12" s="53">
        <f t="shared" si="0"/>
        <v>0</v>
      </c>
      <c r="P12" s="53">
        <f t="shared" si="0"/>
        <v>0</v>
      </c>
      <c r="Q12" s="53">
        <f t="shared" si="1"/>
        <v>0</v>
      </c>
      <c r="R12" s="53">
        <f t="shared" si="1"/>
        <v>0</v>
      </c>
      <c r="S12" s="53">
        <f t="shared" si="1"/>
        <v>0</v>
      </c>
      <c r="T12" s="53">
        <f t="shared" si="1"/>
        <v>0</v>
      </c>
      <c r="U12" s="53">
        <f t="shared" si="1"/>
        <v>0</v>
      </c>
      <c r="V12" s="53">
        <f t="shared" si="1"/>
        <v>0</v>
      </c>
      <c r="W12" s="53">
        <f t="shared" si="1"/>
        <v>0</v>
      </c>
      <c r="X12" s="54">
        <f t="shared" si="1"/>
        <v>0</v>
      </c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</row>
    <row r="13" spans="1:233" s="4" customFormat="1" ht="14.1" customHeight="1">
      <c r="A13" s="93"/>
      <c r="B13" s="103"/>
      <c r="C13" s="38" t="s">
        <v>48</v>
      </c>
      <c r="D13" s="24" t="s">
        <v>31</v>
      </c>
      <c r="E13" s="55">
        <f t="shared" si="2"/>
        <v>0</v>
      </c>
      <c r="F13" s="46"/>
      <c r="G13" s="51">
        <f t="shared" ref="G13:P16" si="3">SUMIF($D$19:$D$70,$D13,G$19:G$70)</f>
        <v>0</v>
      </c>
      <c r="H13" s="52">
        <f t="shared" si="3"/>
        <v>0</v>
      </c>
      <c r="I13" s="53">
        <f t="shared" si="3"/>
        <v>0</v>
      </c>
      <c r="J13" s="53">
        <f t="shared" si="3"/>
        <v>0</v>
      </c>
      <c r="K13" s="53">
        <f t="shared" si="3"/>
        <v>0</v>
      </c>
      <c r="L13" s="53">
        <f t="shared" si="3"/>
        <v>0</v>
      </c>
      <c r="M13" s="53">
        <f t="shared" si="3"/>
        <v>0</v>
      </c>
      <c r="N13" s="53">
        <f t="shared" si="3"/>
        <v>0</v>
      </c>
      <c r="O13" s="53">
        <f t="shared" si="3"/>
        <v>0</v>
      </c>
      <c r="P13" s="53">
        <f t="shared" si="3"/>
        <v>0</v>
      </c>
      <c r="Q13" s="53">
        <f t="shared" ref="Q13:X16" si="4">SUMIF($D$19:$D$70,$D13,Q$19:Q$70)</f>
        <v>0</v>
      </c>
      <c r="R13" s="53">
        <f t="shared" si="4"/>
        <v>0</v>
      </c>
      <c r="S13" s="53">
        <f t="shared" si="4"/>
        <v>0</v>
      </c>
      <c r="T13" s="53">
        <f t="shared" si="4"/>
        <v>0</v>
      </c>
      <c r="U13" s="53">
        <f t="shared" si="4"/>
        <v>0</v>
      </c>
      <c r="V13" s="53">
        <f t="shared" si="4"/>
        <v>0</v>
      </c>
      <c r="W13" s="53">
        <f t="shared" si="4"/>
        <v>0</v>
      </c>
      <c r="X13" s="54">
        <f t="shared" si="4"/>
        <v>0</v>
      </c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</row>
    <row r="14" spans="1:233" s="4" customFormat="1" ht="14.1" customHeight="1">
      <c r="A14" s="93"/>
      <c r="B14" s="103"/>
      <c r="C14" s="38" t="s">
        <v>3</v>
      </c>
      <c r="D14" s="24" t="s">
        <v>32</v>
      </c>
      <c r="E14" s="55">
        <f t="shared" si="2"/>
        <v>0</v>
      </c>
      <c r="F14" s="46"/>
      <c r="G14" s="51">
        <f t="shared" si="3"/>
        <v>0</v>
      </c>
      <c r="H14" s="52">
        <f t="shared" si="3"/>
        <v>0</v>
      </c>
      <c r="I14" s="53">
        <f t="shared" si="3"/>
        <v>0</v>
      </c>
      <c r="J14" s="53">
        <f t="shared" si="3"/>
        <v>0</v>
      </c>
      <c r="K14" s="53">
        <f t="shared" si="3"/>
        <v>0</v>
      </c>
      <c r="L14" s="53">
        <f t="shared" si="3"/>
        <v>0</v>
      </c>
      <c r="M14" s="53">
        <f t="shared" si="3"/>
        <v>0</v>
      </c>
      <c r="N14" s="53">
        <f t="shared" si="3"/>
        <v>0</v>
      </c>
      <c r="O14" s="53">
        <f t="shared" si="3"/>
        <v>0</v>
      </c>
      <c r="P14" s="53">
        <f t="shared" si="3"/>
        <v>0</v>
      </c>
      <c r="Q14" s="53">
        <f t="shared" si="4"/>
        <v>0</v>
      </c>
      <c r="R14" s="53">
        <f t="shared" si="4"/>
        <v>0</v>
      </c>
      <c r="S14" s="53">
        <f t="shared" si="4"/>
        <v>0</v>
      </c>
      <c r="T14" s="53">
        <f t="shared" si="4"/>
        <v>0</v>
      </c>
      <c r="U14" s="53">
        <f t="shared" si="4"/>
        <v>0</v>
      </c>
      <c r="V14" s="53">
        <f t="shared" si="4"/>
        <v>0</v>
      </c>
      <c r="W14" s="53">
        <f t="shared" si="4"/>
        <v>0</v>
      </c>
      <c r="X14" s="54">
        <f t="shared" si="4"/>
        <v>0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</row>
    <row r="15" spans="1:233" s="4" customFormat="1" ht="14.1" customHeight="1">
      <c r="A15" s="93"/>
      <c r="B15" s="103"/>
      <c r="C15" s="38" t="s">
        <v>9</v>
      </c>
      <c r="D15" s="24" t="s">
        <v>42</v>
      </c>
      <c r="E15" s="56">
        <f t="shared" si="2"/>
        <v>0</v>
      </c>
      <c r="F15" s="46"/>
      <c r="G15" s="51">
        <f t="shared" si="3"/>
        <v>0</v>
      </c>
      <c r="H15" s="52">
        <f t="shared" si="3"/>
        <v>0</v>
      </c>
      <c r="I15" s="53">
        <f t="shared" si="3"/>
        <v>0</v>
      </c>
      <c r="J15" s="53">
        <f t="shared" si="3"/>
        <v>0</v>
      </c>
      <c r="K15" s="53">
        <f t="shared" si="3"/>
        <v>0</v>
      </c>
      <c r="L15" s="53">
        <f t="shared" si="3"/>
        <v>0</v>
      </c>
      <c r="M15" s="53">
        <f t="shared" si="3"/>
        <v>0</v>
      </c>
      <c r="N15" s="53">
        <f t="shared" si="3"/>
        <v>0</v>
      </c>
      <c r="O15" s="53">
        <f t="shared" si="3"/>
        <v>0</v>
      </c>
      <c r="P15" s="53">
        <f t="shared" si="3"/>
        <v>0</v>
      </c>
      <c r="Q15" s="53">
        <f t="shared" si="4"/>
        <v>0</v>
      </c>
      <c r="R15" s="53">
        <f t="shared" si="4"/>
        <v>0</v>
      </c>
      <c r="S15" s="53">
        <f t="shared" si="4"/>
        <v>0</v>
      </c>
      <c r="T15" s="53">
        <f t="shared" si="4"/>
        <v>0</v>
      </c>
      <c r="U15" s="53">
        <f t="shared" si="4"/>
        <v>0</v>
      </c>
      <c r="V15" s="53">
        <f t="shared" si="4"/>
        <v>0</v>
      </c>
      <c r="W15" s="53">
        <f t="shared" si="4"/>
        <v>0</v>
      </c>
      <c r="X15" s="54">
        <f t="shared" si="4"/>
        <v>0</v>
      </c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</row>
    <row r="16" spans="1:233" s="4" customFormat="1" ht="14.1" customHeight="1">
      <c r="A16" s="93"/>
      <c r="B16" s="103"/>
      <c r="C16" s="38" t="s">
        <v>49</v>
      </c>
      <c r="D16" s="24" t="s">
        <v>43</v>
      </c>
      <c r="E16" s="56">
        <f t="shared" si="2"/>
        <v>0</v>
      </c>
      <c r="F16" s="46"/>
      <c r="G16" s="51">
        <f t="shared" si="3"/>
        <v>0</v>
      </c>
      <c r="H16" s="52">
        <f t="shared" si="3"/>
        <v>0</v>
      </c>
      <c r="I16" s="53">
        <f t="shared" si="3"/>
        <v>0</v>
      </c>
      <c r="J16" s="53">
        <f t="shared" si="3"/>
        <v>0</v>
      </c>
      <c r="K16" s="53">
        <f t="shared" si="3"/>
        <v>0</v>
      </c>
      <c r="L16" s="53">
        <f t="shared" si="3"/>
        <v>0</v>
      </c>
      <c r="M16" s="53">
        <f t="shared" si="3"/>
        <v>0</v>
      </c>
      <c r="N16" s="53">
        <f t="shared" si="3"/>
        <v>0</v>
      </c>
      <c r="O16" s="53">
        <f t="shared" si="3"/>
        <v>0</v>
      </c>
      <c r="P16" s="53">
        <f t="shared" si="3"/>
        <v>0</v>
      </c>
      <c r="Q16" s="53">
        <f t="shared" si="4"/>
        <v>0</v>
      </c>
      <c r="R16" s="53">
        <f t="shared" si="4"/>
        <v>0</v>
      </c>
      <c r="S16" s="53">
        <f t="shared" si="4"/>
        <v>0</v>
      </c>
      <c r="T16" s="53">
        <f t="shared" si="4"/>
        <v>0</v>
      </c>
      <c r="U16" s="53">
        <f t="shared" si="4"/>
        <v>0</v>
      </c>
      <c r="V16" s="53">
        <f t="shared" si="4"/>
        <v>0</v>
      </c>
      <c r="W16" s="53">
        <f t="shared" si="4"/>
        <v>0</v>
      </c>
      <c r="X16" s="54">
        <f t="shared" si="4"/>
        <v>0</v>
      </c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</row>
    <row r="17" spans="1:233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2"/>
        <v>0</v>
      </c>
      <c r="F17" s="84"/>
      <c r="G17" s="58">
        <f>+G13-G16</f>
        <v>0</v>
      </c>
      <c r="H17" s="59">
        <f t="shared" ref="H17:X17" si="5">+H13-H16</f>
        <v>0</v>
      </c>
      <c r="I17" s="60">
        <f t="shared" si="5"/>
        <v>0</v>
      </c>
      <c r="J17" s="60">
        <f t="shared" si="5"/>
        <v>0</v>
      </c>
      <c r="K17" s="60">
        <f t="shared" si="5"/>
        <v>0</v>
      </c>
      <c r="L17" s="60">
        <f t="shared" si="5"/>
        <v>0</v>
      </c>
      <c r="M17" s="60">
        <f t="shared" si="5"/>
        <v>0</v>
      </c>
      <c r="N17" s="60">
        <f t="shared" si="5"/>
        <v>0</v>
      </c>
      <c r="O17" s="60">
        <f t="shared" si="5"/>
        <v>0</v>
      </c>
      <c r="P17" s="60">
        <f t="shared" si="5"/>
        <v>0</v>
      </c>
      <c r="Q17" s="60">
        <f t="shared" si="5"/>
        <v>0</v>
      </c>
      <c r="R17" s="60">
        <f t="shared" si="5"/>
        <v>0</v>
      </c>
      <c r="S17" s="60">
        <f t="shared" si="5"/>
        <v>0</v>
      </c>
      <c r="T17" s="60">
        <f t="shared" si="5"/>
        <v>0</v>
      </c>
      <c r="U17" s="60">
        <f t="shared" si="5"/>
        <v>0</v>
      </c>
      <c r="V17" s="60">
        <f t="shared" si="5"/>
        <v>0</v>
      </c>
      <c r="W17" s="60">
        <f t="shared" si="5"/>
        <v>0</v>
      </c>
      <c r="X17" s="61">
        <f t="shared" si="5"/>
        <v>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</row>
    <row r="18" spans="1:233" ht="14.1" customHeight="1" thickBot="1">
      <c r="A18" s="18"/>
      <c r="B18" s="18"/>
      <c r="C18" s="82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</row>
    <row r="19" spans="1:233" s="4" customFormat="1" ht="14.1" customHeight="1">
      <c r="A19" s="92">
        <v>1</v>
      </c>
      <c r="B19" s="102" t="s">
        <v>17</v>
      </c>
      <c r="C19" s="38" t="s">
        <v>38</v>
      </c>
      <c r="D19" s="23" t="s">
        <v>4</v>
      </c>
      <c r="E19" s="55">
        <f>SUM(G19:X19)</f>
        <v>0</v>
      </c>
      <c r="F19" s="83"/>
      <c r="G19" s="47">
        <f>Engg!F6</f>
        <v>0</v>
      </c>
      <c r="H19" s="48">
        <f>Engg!G6</f>
        <v>0</v>
      </c>
      <c r="I19" s="49">
        <f>Engg!H6</f>
        <v>0</v>
      </c>
      <c r="J19" s="49">
        <f>Engg!I6</f>
        <v>0</v>
      </c>
      <c r="K19" s="49">
        <f>Engg!J6</f>
        <v>0</v>
      </c>
      <c r="L19" s="49">
        <f>Engg!K6</f>
        <v>0</v>
      </c>
      <c r="M19" s="49">
        <f>Engg!L6</f>
        <v>0</v>
      </c>
      <c r="N19" s="49">
        <f>Engg!M6</f>
        <v>0</v>
      </c>
      <c r="O19" s="49">
        <f>Engg!N6</f>
        <v>0</v>
      </c>
      <c r="P19" s="49">
        <f>Engg!O6</f>
        <v>0</v>
      </c>
      <c r="Q19" s="49">
        <f>Engg!P6</f>
        <v>0</v>
      </c>
      <c r="R19" s="49">
        <f>Engg!Q6</f>
        <v>0</v>
      </c>
      <c r="S19" s="49">
        <f>Engg!R6</f>
        <v>0</v>
      </c>
      <c r="T19" s="49">
        <f>Engg!S6</f>
        <v>0</v>
      </c>
      <c r="U19" s="49">
        <f>Engg!T6</f>
        <v>0</v>
      </c>
      <c r="V19" s="49">
        <f>Engg!U6</f>
        <v>0</v>
      </c>
      <c r="W19" s="49">
        <f>Engg!V6</f>
        <v>0</v>
      </c>
      <c r="X19" s="50">
        <f>Engg!W6</f>
        <v>0</v>
      </c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</row>
    <row r="20" spans="1:233" s="4" customFormat="1" ht="14.1" customHeight="1">
      <c r="A20" s="93"/>
      <c r="B20" s="103"/>
      <c r="C20" s="38" t="s">
        <v>39</v>
      </c>
      <c r="D20" s="42" t="s">
        <v>5</v>
      </c>
      <c r="E20" s="55">
        <f t="shared" ref="E20:E30" si="6">SUM(G20:X20)</f>
        <v>0</v>
      </c>
      <c r="F20" s="46"/>
      <c r="G20" s="67">
        <f>Engg!F7</f>
        <v>0</v>
      </c>
      <c r="H20" s="68">
        <f>Engg!G7</f>
        <v>0</v>
      </c>
      <c r="I20" s="90">
        <f>Engg!H7</f>
        <v>0</v>
      </c>
      <c r="J20" s="90">
        <f>Engg!I7</f>
        <v>0</v>
      </c>
      <c r="K20" s="90">
        <f>Engg!J7</f>
        <v>0</v>
      </c>
      <c r="L20" s="90">
        <f>Engg!K7</f>
        <v>0</v>
      </c>
      <c r="M20" s="90">
        <f>Engg!L7</f>
        <v>0</v>
      </c>
      <c r="N20" s="90">
        <f>Engg!M7</f>
        <v>0</v>
      </c>
      <c r="O20" s="90">
        <f>Engg!N7</f>
        <v>0</v>
      </c>
      <c r="P20" s="90">
        <f>Engg!O7</f>
        <v>0</v>
      </c>
      <c r="Q20" s="90">
        <f>Engg!P7</f>
        <v>0</v>
      </c>
      <c r="R20" s="90">
        <f>Engg!Q7</f>
        <v>0</v>
      </c>
      <c r="S20" s="90">
        <f>Engg!R7</f>
        <v>0</v>
      </c>
      <c r="T20" s="90">
        <f>Engg!S7</f>
        <v>0</v>
      </c>
      <c r="U20" s="90">
        <f>Engg!T7</f>
        <v>0</v>
      </c>
      <c r="V20" s="90">
        <f>Engg!U7</f>
        <v>0</v>
      </c>
      <c r="W20" s="90">
        <f>Engg!V7</f>
        <v>0</v>
      </c>
      <c r="X20" s="69">
        <f>Engg!W7</f>
        <v>0</v>
      </c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</row>
    <row r="21" spans="1:233" s="4" customFormat="1" ht="14.1" customHeight="1">
      <c r="A21" s="93"/>
      <c r="B21" s="103"/>
      <c r="C21" s="38" t="s">
        <v>40</v>
      </c>
      <c r="D21" s="42" t="s">
        <v>6</v>
      </c>
      <c r="E21" s="55">
        <f t="shared" si="6"/>
        <v>0</v>
      </c>
      <c r="F21" s="46"/>
      <c r="G21" s="67">
        <f>Engg!F8</f>
        <v>0</v>
      </c>
      <c r="H21" s="68">
        <f>Engg!G8</f>
        <v>0</v>
      </c>
      <c r="I21" s="90">
        <f>Engg!H8</f>
        <v>0</v>
      </c>
      <c r="J21" s="90">
        <f>Engg!I8</f>
        <v>0</v>
      </c>
      <c r="K21" s="90">
        <f>Engg!J8</f>
        <v>0</v>
      </c>
      <c r="L21" s="90">
        <f>Engg!K8</f>
        <v>0</v>
      </c>
      <c r="M21" s="90">
        <f>Engg!L8</f>
        <v>0</v>
      </c>
      <c r="N21" s="90">
        <f>Engg!M8</f>
        <v>0</v>
      </c>
      <c r="O21" s="90">
        <f>Engg!N8</f>
        <v>0</v>
      </c>
      <c r="P21" s="90">
        <f>Engg!O8</f>
        <v>0</v>
      </c>
      <c r="Q21" s="90">
        <f>Engg!P8</f>
        <v>0</v>
      </c>
      <c r="R21" s="90">
        <f>Engg!Q8</f>
        <v>0</v>
      </c>
      <c r="S21" s="90">
        <f>Engg!R8</f>
        <v>0</v>
      </c>
      <c r="T21" s="90">
        <f>Engg!S8</f>
        <v>0</v>
      </c>
      <c r="U21" s="90">
        <f>Engg!T8</f>
        <v>0</v>
      </c>
      <c r="V21" s="90">
        <f>Engg!U8</f>
        <v>0</v>
      </c>
      <c r="W21" s="90">
        <f>Engg!V8</f>
        <v>0</v>
      </c>
      <c r="X21" s="69">
        <f>Engg!W8</f>
        <v>0</v>
      </c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</row>
    <row r="22" spans="1:233" s="4" customFormat="1" ht="14.1" customHeight="1">
      <c r="A22" s="93"/>
      <c r="B22" s="103"/>
      <c r="C22" s="38" t="s">
        <v>41</v>
      </c>
      <c r="D22" s="24" t="s">
        <v>7</v>
      </c>
      <c r="E22" s="55">
        <f t="shared" si="6"/>
        <v>0</v>
      </c>
      <c r="F22" s="46"/>
      <c r="G22" s="51">
        <f>Engg!F9</f>
        <v>0</v>
      </c>
      <c r="H22" s="52">
        <f>Engg!G9</f>
        <v>0</v>
      </c>
      <c r="I22" s="53">
        <f>Engg!H9</f>
        <v>0</v>
      </c>
      <c r="J22" s="53">
        <f>Engg!I9</f>
        <v>0</v>
      </c>
      <c r="K22" s="53">
        <f>Engg!J9</f>
        <v>0</v>
      </c>
      <c r="L22" s="53">
        <f>Engg!K9</f>
        <v>0</v>
      </c>
      <c r="M22" s="53">
        <f>Engg!L9</f>
        <v>0</v>
      </c>
      <c r="N22" s="53">
        <f>Engg!M9</f>
        <v>0</v>
      </c>
      <c r="O22" s="53">
        <f>Engg!N9</f>
        <v>0</v>
      </c>
      <c r="P22" s="53">
        <f>Engg!O9</f>
        <v>0</v>
      </c>
      <c r="Q22" s="53">
        <f>Engg!P9</f>
        <v>0</v>
      </c>
      <c r="R22" s="53">
        <f>Engg!Q9</f>
        <v>0</v>
      </c>
      <c r="S22" s="53">
        <f>Engg!R9</f>
        <v>0</v>
      </c>
      <c r="T22" s="53">
        <f>Engg!S9</f>
        <v>0</v>
      </c>
      <c r="U22" s="53">
        <f>Engg!T9</f>
        <v>0</v>
      </c>
      <c r="V22" s="53">
        <f>Engg!U9</f>
        <v>0</v>
      </c>
      <c r="W22" s="53">
        <f>Engg!V9</f>
        <v>0</v>
      </c>
      <c r="X22" s="54">
        <f>Engg!W9</f>
        <v>0</v>
      </c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</row>
    <row r="23" spans="1:233" s="4" customFormat="1" ht="14.1" customHeight="1">
      <c r="A23" s="93"/>
      <c r="B23" s="103"/>
      <c r="C23" s="38" t="s">
        <v>44</v>
      </c>
      <c r="D23" s="24" t="s">
        <v>8</v>
      </c>
      <c r="E23" s="55">
        <f t="shared" si="6"/>
        <v>0</v>
      </c>
      <c r="F23" s="46"/>
      <c r="G23" s="51">
        <f>Engg!F10</f>
        <v>0</v>
      </c>
      <c r="H23" s="52">
        <f>Engg!G10</f>
        <v>0</v>
      </c>
      <c r="I23" s="53">
        <f>Engg!H10</f>
        <v>0</v>
      </c>
      <c r="J23" s="53">
        <f>Engg!I10</f>
        <v>0</v>
      </c>
      <c r="K23" s="53">
        <f>Engg!J10</f>
        <v>0</v>
      </c>
      <c r="L23" s="53">
        <f>Engg!K10</f>
        <v>0</v>
      </c>
      <c r="M23" s="53">
        <f>Engg!L10</f>
        <v>0</v>
      </c>
      <c r="N23" s="53">
        <f>Engg!M10</f>
        <v>0</v>
      </c>
      <c r="O23" s="53">
        <f>Engg!N10</f>
        <v>0</v>
      </c>
      <c r="P23" s="53">
        <f>Engg!O10</f>
        <v>0</v>
      </c>
      <c r="Q23" s="53">
        <f>Engg!P10</f>
        <v>0</v>
      </c>
      <c r="R23" s="53">
        <f>Engg!Q10</f>
        <v>0</v>
      </c>
      <c r="S23" s="53">
        <f>Engg!R10</f>
        <v>0</v>
      </c>
      <c r="T23" s="53">
        <f>Engg!S10</f>
        <v>0</v>
      </c>
      <c r="U23" s="53">
        <f>Engg!T10</f>
        <v>0</v>
      </c>
      <c r="V23" s="53">
        <f>Engg!U10</f>
        <v>0</v>
      </c>
      <c r="W23" s="53">
        <f>Engg!V10</f>
        <v>0</v>
      </c>
      <c r="X23" s="54">
        <f>Engg!W10</f>
        <v>0</v>
      </c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</row>
    <row r="24" spans="1:233" s="4" customFormat="1" ht="14.1" customHeight="1">
      <c r="A24" s="93"/>
      <c r="B24" s="103"/>
      <c r="C24" s="38" t="s">
        <v>45</v>
      </c>
      <c r="D24" s="24" t="s">
        <v>29</v>
      </c>
      <c r="E24" s="55">
        <f t="shared" si="6"/>
        <v>0</v>
      </c>
      <c r="F24" s="46"/>
      <c r="G24" s="51">
        <f>Engg!F11</f>
        <v>0</v>
      </c>
      <c r="H24" s="52">
        <f>Engg!G11</f>
        <v>0</v>
      </c>
      <c r="I24" s="53">
        <f>Engg!H11</f>
        <v>0</v>
      </c>
      <c r="J24" s="53">
        <f>Engg!I11</f>
        <v>0</v>
      </c>
      <c r="K24" s="53">
        <f>Engg!J11</f>
        <v>0</v>
      </c>
      <c r="L24" s="53">
        <f>Engg!K11</f>
        <v>0</v>
      </c>
      <c r="M24" s="53">
        <f>Engg!L11</f>
        <v>0</v>
      </c>
      <c r="N24" s="53">
        <f>Engg!M11</f>
        <v>0</v>
      </c>
      <c r="O24" s="53">
        <f>Engg!N11</f>
        <v>0</v>
      </c>
      <c r="P24" s="53">
        <f>Engg!O11</f>
        <v>0</v>
      </c>
      <c r="Q24" s="53">
        <f>Engg!P11</f>
        <v>0</v>
      </c>
      <c r="R24" s="53">
        <f>Engg!Q11</f>
        <v>0</v>
      </c>
      <c r="S24" s="53">
        <f>Engg!R11</f>
        <v>0</v>
      </c>
      <c r="T24" s="53">
        <f>Engg!S11</f>
        <v>0</v>
      </c>
      <c r="U24" s="53">
        <f>Engg!T11</f>
        <v>0</v>
      </c>
      <c r="V24" s="53">
        <f>Engg!U11</f>
        <v>0</v>
      </c>
      <c r="W24" s="53">
        <f>Engg!V11</f>
        <v>0</v>
      </c>
      <c r="X24" s="54">
        <f>Engg!W11</f>
        <v>0</v>
      </c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</row>
    <row r="25" spans="1:233" s="4" customFormat="1" ht="14.1" customHeight="1">
      <c r="A25" s="93"/>
      <c r="B25" s="103"/>
      <c r="C25" s="38" t="s">
        <v>46</v>
      </c>
      <c r="D25" s="24" t="s">
        <v>30</v>
      </c>
      <c r="E25" s="55">
        <f t="shared" si="6"/>
        <v>0</v>
      </c>
      <c r="F25" s="46"/>
      <c r="G25" s="51">
        <f>Engg!F12</f>
        <v>0</v>
      </c>
      <c r="H25" s="52">
        <f>Engg!G12</f>
        <v>0</v>
      </c>
      <c r="I25" s="53">
        <f>Engg!H12</f>
        <v>0</v>
      </c>
      <c r="J25" s="53">
        <f>Engg!I12</f>
        <v>0</v>
      </c>
      <c r="K25" s="53">
        <f>Engg!J12</f>
        <v>0</v>
      </c>
      <c r="L25" s="53">
        <f>Engg!K12</f>
        <v>0</v>
      </c>
      <c r="M25" s="53">
        <f>Engg!L12</f>
        <v>0</v>
      </c>
      <c r="N25" s="53">
        <f>Engg!M12</f>
        <v>0</v>
      </c>
      <c r="O25" s="53">
        <f>Engg!N12</f>
        <v>0</v>
      </c>
      <c r="P25" s="53">
        <f>Engg!O12</f>
        <v>0</v>
      </c>
      <c r="Q25" s="53">
        <f>Engg!P12</f>
        <v>0</v>
      </c>
      <c r="R25" s="53">
        <f>Engg!Q12</f>
        <v>0</v>
      </c>
      <c r="S25" s="53">
        <f>Engg!R12</f>
        <v>0</v>
      </c>
      <c r="T25" s="53">
        <f>Engg!S12</f>
        <v>0</v>
      </c>
      <c r="U25" s="53">
        <f>Engg!T12</f>
        <v>0</v>
      </c>
      <c r="V25" s="53">
        <f>Engg!U12</f>
        <v>0</v>
      </c>
      <c r="W25" s="53">
        <f>Engg!V12</f>
        <v>0</v>
      </c>
      <c r="X25" s="54">
        <f>Engg!W12</f>
        <v>0</v>
      </c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</row>
    <row r="26" spans="1:233" s="4" customFormat="1" ht="14.1" customHeight="1">
      <c r="A26" s="93"/>
      <c r="B26" s="103"/>
      <c r="C26" s="38" t="s">
        <v>48</v>
      </c>
      <c r="D26" s="24" t="s">
        <v>31</v>
      </c>
      <c r="E26" s="55">
        <f t="shared" si="6"/>
        <v>0</v>
      </c>
      <c r="F26" s="46"/>
      <c r="G26" s="51">
        <f>Engg!F13</f>
        <v>0</v>
      </c>
      <c r="H26" s="52">
        <f>Engg!G13</f>
        <v>0</v>
      </c>
      <c r="I26" s="53">
        <f>Engg!H13</f>
        <v>0</v>
      </c>
      <c r="J26" s="53">
        <f>Engg!I13</f>
        <v>0</v>
      </c>
      <c r="K26" s="53">
        <f>Engg!J13</f>
        <v>0</v>
      </c>
      <c r="L26" s="53">
        <f>Engg!K13</f>
        <v>0</v>
      </c>
      <c r="M26" s="53">
        <f>Engg!L13</f>
        <v>0</v>
      </c>
      <c r="N26" s="53">
        <f>Engg!M13</f>
        <v>0</v>
      </c>
      <c r="O26" s="53">
        <f>Engg!N13</f>
        <v>0</v>
      </c>
      <c r="P26" s="53">
        <f>Engg!O13</f>
        <v>0</v>
      </c>
      <c r="Q26" s="53">
        <f>Engg!P13</f>
        <v>0</v>
      </c>
      <c r="R26" s="53">
        <f>Engg!Q13</f>
        <v>0</v>
      </c>
      <c r="S26" s="53">
        <f>Engg!R13</f>
        <v>0</v>
      </c>
      <c r="T26" s="53">
        <f>Engg!S13</f>
        <v>0</v>
      </c>
      <c r="U26" s="53">
        <f>Engg!T13</f>
        <v>0</v>
      </c>
      <c r="V26" s="53">
        <f>Engg!U13</f>
        <v>0</v>
      </c>
      <c r="W26" s="53">
        <f>Engg!V13</f>
        <v>0</v>
      </c>
      <c r="X26" s="54">
        <f>Engg!W13</f>
        <v>0</v>
      </c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</row>
    <row r="27" spans="1:233" s="4" customFormat="1" ht="14.1" customHeight="1">
      <c r="A27" s="93"/>
      <c r="B27" s="103"/>
      <c r="C27" s="38" t="s">
        <v>3</v>
      </c>
      <c r="D27" s="24" t="s">
        <v>32</v>
      </c>
      <c r="E27" s="56">
        <f t="shared" si="6"/>
        <v>0</v>
      </c>
      <c r="F27" s="46"/>
      <c r="G27" s="51">
        <f>Engg!F14</f>
        <v>0</v>
      </c>
      <c r="H27" s="52">
        <f>Engg!G14</f>
        <v>0</v>
      </c>
      <c r="I27" s="53">
        <f>Engg!H14</f>
        <v>0</v>
      </c>
      <c r="J27" s="53">
        <f>Engg!I14</f>
        <v>0</v>
      </c>
      <c r="K27" s="53">
        <f>Engg!J14</f>
        <v>0</v>
      </c>
      <c r="L27" s="53">
        <f>Engg!K14</f>
        <v>0</v>
      </c>
      <c r="M27" s="53">
        <f>Engg!L14</f>
        <v>0</v>
      </c>
      <c r="N27" s="53">
        <f>Engg!M14</f>
        <v>0</v>
      </c>
      <c r="O27" s="53">
        <f>Engg!N14</f>
        <v>0</v>
      </c>
      <c r="P27" s="53">
        <f>Engg!O14</f>
        <v>0</v>
      </c>
      <c r="Q27" s="53">
        <f>Engg!P14</f>
        <v>0</v>
      </c>
      <c r="R27" s="53">
        <f>Engg!Q14</f>
        <v>0</v>
      </c>
      <c r="S27" s="53">
        <f>Engg!R14</f>
        <v>0</v>
      </c>
      <c r="T27" s="53">
        <f>Engg!S14</f>
        <v>0</v>
      </c>
      <c r="U27" s="53">
        <f>Engg!T14</f>
        <v>0</v>
      </c>
      <c r="V27" s="53">
        <f>Engg!U14</f>
        <v>0</v>
      </c>
      <c r="W27" s="53">
        <f>Engg!V14</f>
        <v>0</v>
      </c>
      <c r="X27" s="54">
        <f>Engg!W14</f>
        <v>0</v>
      </c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</row>
    <row r="28" spans="1:233" s="4" customFormat="1" ht="14.1" customHeight="1">
      <c r="A28" s="93"/>
      <c r="B28" s="103"/>
      <c r="C28" s="38" t="s">
        <v>9</v>
      </c>
      <c r="D28" s="24" t="s">
        <v>42</v>
      </c>
      <c r="E28" s="56">
        <f t="shared" si="6"/>
        <v>0</v>
      </c>
      <c r="F28" s="46"/>
      <c r="G28" s="51">
        <f>Engg!F15</f>
        <v>0</v>
      </c>
      <c r="H28" s="52">
        <f>Engg!G15</f>
        <v>0</v>
      </c>
      <c r="I28" s="53">
        <f>Engg!H15</f>
        <v>0</v>
      </c>
      <c r="J28" s="53">
        <f>Engg!I15</f>
        <v>0</v>
      </c>
      <c r="K28" s="53">
        <f>Engg!J15</f>
        <v>0</v>
      </c>
      <c r="L28" s="53">
        <f>Engg!K15</f>
        <v>0</v>
      </c>
      <c r="M28" s="53">
        <f>Engg!L15</f>
        <v>0</v>
      </c>
      <c r="N28" s="53">
        <f>Engg!M15</f>
        <v>0</v>
      </c>
      <c r="O28" s="53">
        <f>Engg!N15</f>
        <v>0</v>
      </c>
      <c r="P28" s="53">
        <f>Engg!O15</f>
        <v>0</v>
      </c>
      <c r="Q28" s="53">
        <f>Engg!P15</f>
        <v>0</v>
      </c>
      <c r="R28" s="53">
        <f>Engg!Q15</f>
        <v>0</v>
      </c>
      <c r="S28" s="53">
        <f>Engg!R15</f>
        <v>0</v>
      </c>
      <c r="T28" s="53">
        <f>Engg!S15</f>
        <v>0</v>
      </c>
      <c r="U28" s="53">
        <f>Engg!T15</f>
        <v>0</v>
      </c>
      <c r="V28" s="53">
        <f>Engg!U15</f>
        <v>0</v>
      </c>
      <c r="W28" s="53">
        <f>Engg!V15</f>
        <v>0</v>
      </c>
      <c r="X28" s="54">
        <f>Engg!W15</f>
        <v>0</v>
      </c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</row>
    <row r="29" spans="1:233" s="4" customFormat="1" ht="14.1" customHeight="1">
      <c r="A29" s="93"/>
      <c r="B29" s="103"/>
      <c r="C29" s="38" t="s">
        <v>49</v>
      </c>
      <c r="D29" s="24" t="s">
        <v>43</v>
      </c>
      <c r="E29" s="56">
        <f t="shared" si="6"/>
        <v>0</v>
      </c>
      <c r="F29" s="46"/>
      <c r="G29" s="51">
        <f>Engg!F16</f>
        <v>0</v>
      </c>
      <c r="H29" s="52">
        <f>Engg!G16</f>
        <v>0</v>
      </c>
      <c r="I29" s="53">
        <f>Engg!H16</f>
        <v>0</v>
      </c>
      <c r="J29" s="53">
        <f>Engg!I16</f>
        <v>0</v>
      </c>
      <c r="K29" s="53">
        <f>Engg!J16</f>
        <v>0</v>
      </c>
      <c r="L29" s="53">
        <f>Engg!K16</f>
        <v>0</v>
      </c>
      <c r="M29" s="53">
        <f>Engg!L16</f>
        <v>0</v>
      </c>
      <c r="N29" s="53">
        <f>Engg!M16</f>
        <v>0</v>
      </c>
      <c r="O29" s="53">
        <f>Engg!N16</f>
        <v>0</v>
      </c>
      <c r="P29" s="53">
        <f>Engg!O16</f>
        <v>0</v>
      </c>
      <c r="Q29" s="53">
        <f>Engg!P16</f>
        <v>0</v>
      </c>
      <c r="R29" s="53">
        <f>Engg!Q16</f>
        <v>0</v>
      </c>
      <c r="S29" s="53">
        <f>Engg!R16</f>
        <v>0</v>
      </c>
      <c r="T29" s="53">
        <f>Engg!S16</f>
        <v>0</v>
      </c>
      <c r="U29" s="53">
        <f>Engg!T16</f>
        <v>0</v>
      </c>
      <c r="V29" s="53">
        <f>Engg!U16</f>
        <v>0</v>
      </c>
      <c r="W29" s="53">
        <f>Engg!V16</f>
        <v>0</v>
      </c>
      <c r="X29" s="54">
        <f>Engg!W16</f>
        <v>0</v>
      </c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</row>
    <row r="30" spans="1:233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6"/>
        <v>0</v>
      </c>
      <c r="F30" s="84"/>
      <c r="G30" s="58">
        <f>Engg!F17</f>
        <v>0</v>
      </c>
      <c r="H30" s="59">
        <f>Engg!G17</f>
        <v>0</v>
      </c>
      <c r="I30" s="60">
        <f>Engg!H17</f>
        <v>0</v>
      </c>
      <c r="J30" s="60">
        <f>Engg!I17</f>
        <v>0</v>
      </c>
      <c r="K30" s="60">
        <f>Engg!J17</f>
        <v>0</v>
      </c>
      <c r="L30" s="60">
        <f>Engg!K17</f>
        <v>0</v>
      </c>
      <c r="M30" s="60">
        <f>Engg!L17</f>
        <v>0</v>
      </c>
      <c r="N30" s="60">
        <f>Engg!M17</f>
        <v>0</v>
      </c>
      <c r="O30" s="60">
        <f>Engg!N17</f>
        <v>0</v>
      </c>
      <c r="P30" s="60">
        <f>Engg!O17</f>
        <v>0</v>
      </c>
      <c r="Q30" s="60">
        <f>Engg!P17</f>
        <v>0</v>
      </c>
      <c r="R30" s="60">
        <f>Engg!Q17</f>
        <v>0</v>
      </c>
      <c r="S30" s="60">
        <f>Engg!R17</f>
        <v>0</v>
      </c>
      <c r="T30" s="60">
        <f>Engg!S17</f>
        <v>0</v>
      </c>
      <c r="U30" s="60">
        <f>Engg!T17</f>
        <v>0</v>
      </c>
      <c r="V30" s="60">
        <f>Engg!U17</f>
        <v>0</v>
      </c>
      <c r="W30" s="60">
        <f>Engg!V17</f>
        <v>0</v>
      </c>
      <c r="X30" s="61">
        <f>Engg!W17</f>
        <v>0</v>
      </c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</row>
    <row r="31" spans="1:233" ht="14.1" customHeight="1" thickBot="1">
      <c r="A31" s="18"/>
      <c r="B31" s="18"/>
      <c r="C31" s="82"/>
      <c r="D31" s="20"/>
      <c r="E31" s="70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</row>
    <row r="32" spans="1:233" s="4" customFormat="1" ht="14.1" customHeight="1">
      <c r="A32" s="92">
        <v>2</v>
      </c>
      <c r="B32" s="102" t="s">
        <v>18</v>
      </c>
      <c r="C32" s="38" t="s">
        <v>38</v>
      </c>
      <c r="D32" s="23" t="s">
        <v>4</v>
      </c>
      <c r="E32" s="55">
        <f t="shared" ref="E32:E43" si="7">SUM(G32:X32)</f>
        <v>0</v>
      </c>
      <c r="F32" s="83"/>
      <c r="G32" s="47">
        <f>Projconst!F6</f>
        <v>0</v>
      </c>
      <c r="H32" s="48">
        <f>Projconst!G6</f>
        <v>0</v>
      </c>
      <c r="I32" s="49">
        <f>Projconst!H6</f>
        <v>0</v>
      </c>
      <c r="J32" s="49">
        <f>Projconst!I6</f>
        <v>0</v>
      </c>
      <c r="K32" s="49">
        <f>Projconst!J6</f>
        <v>0</v>
      </c>
      <c r="L32" s="49">
        <f>Projconst!K6</f>
        <v>0</v>
      </c>
      <c r="M32" s="49">
        <f>Projconst!L6</f>
        <v>0</v>
      </c>
      <c r="N32" s="49">
        <f>Projconst!M6</f>
        <v>0</v>
      </c>
      <c r="O32" s="49">
        <f>Projconst!N6</f>
        <v>0</v>
      </c>
      <c r="P32" s="49">
        <f>Projconst!O6</f>
        <v>0</v>
      </c>
      <c r="Q32" s="49">
        <f>Projconst!P6</f>
        <v>0</v>
      </c>
      <c r="R32" s="49">
        <f>Projconst!Q6</f>
        <v>0</v>
      </c>
      <c r="S32" s="49">
        <f>Projconst!R6</f>
        <v>0</v>
      </c>
      <c r="T32" s="49">
        <f>Projconst!S6</f>
        <v>0</v>
      </c>
      <c r="U32" s="49">
        <f>Projconst!T6</f>
        <v>0</v>
      </c>
      <c r="V32" s="49">
        <f>Projconst!U6</f>
        <v>0</v>
      </c>
      <c r="W32" s="49">
        <f>Projconst!V6</f>
        <v>0</v>
      </c>
      <c r="X32" s="50">
        <f>Projconst!W6</f>
        <v>0</v>
      </c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</row>
    <row r="33" spans="1:233" s="4" customFormat="1" ht="14.1" customHeight="1">
      <c r="A33" s="93"/>
      <c r="B33" s="103"/>
      <c r="C33" s="38" t="s">
        <v>39</v>
      </c>
      <c r="D33" s="42" t="s">
        <v>5</v>
      </c>
      <c r="E33" s="55">
        <f t="shared" si="7"/>
        <v>0</v>
      </c>
      <c r="F33" s="46"/>
      <c r="G33" s="67">
        <f>Projconst!F7</f>
        <v>0</v>
      </c>
      <c r="H33" s="68">
        <f>Projconst!G7</f>
        <v>0</v>
      </c>
      <c r="I33" s="90">
        <f>Projconst!H7</f>
        <v>0</v>
      </c>
      <c r="J33" s="90">
        <f>Projconst!I7</f>
        <v>0</v>
      </c>
      <c r="K33" s="90">
        <f>Projconst!J7</f>
        <v>0</v>
      </c>
      <c r="L33" s="90">
        <f>Projconst!K7</f>
        <v>0</v>
      </c>
      <c r="M33" s="90">
        <f>Projconst!L7</f>
        <v>0</v>
      </c>
      <c r="N33" s="90">
        <f>Projconst!M7</f>
        <v>0</v>
      </c>
      <c r="O33" s="90">
        <f>Projconst!N7</f>
        <v>0</v>
      </c>
      <c r="P33" s="90">
        <f>Projconst!O7</f>
        <v>0</v>
      </c>
      <c r="Q33" s="90">
        <f>Projconst!P7</f>
        <v>0</v>
      </c>
      <c r="R33" s="90">
        <f>Projconst!Q7</f>
        <v>0</v>
      </c>
      <c r="S33" s="90">
        <f>Projconst!R7</f>
        <v>0</v>
      </c>
      <c r="T33" s="90">
        <f>Projconst!S7</f>
        <v>0</v>
      </c>
      <c r="U33" s="90">
        <f>Projconst!T7</f>
        <v>0</v>
      </c>
      <c r="V33" s="90">
        <f>Projconst!U7</f>
        <v>0</v>
      </c>
      <c r="W33" s="90">
        <f>Projconst!V7</f>
        <v>0</v>
      </c>
      <c r="X33" s="69">
        <f>Projconst!W7</f>
        <v>0</v>
      </c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</row>
    <row r="34" spans="1:233" s="4" customFormat="1" ht="14.1" customHeight="1">
      <c r="A34" s="93"/>
      <c r="B34" s="103"/>
      <c r="C34" s="38" t="s">
        <v>40</v>
      </c>
      <c r="D34" s="42" t="s">
        <v>6</v>
      </c>
      <c r="E34" s="55">
        <f t="shared" si="7"/>
        <v>0</v>
      </c>
      <c r="F34" s="46"/>
      <c r="G34" s="67">
        <f>Projconst!F8</f>
        <v>0</v>
      </c>
      <c r="H34" s="68">
        <f>Projconst!G8</f>
        <v>0</v>
      </c>
      <c r="I34" s="90">
        <f>Projconst!H8</f>
        <v>0</v>
      </c>
      <c r="J34" s="90">
        <f>Projconst!I8</f>
        <v>0</v>
      </c>
      <c r="K34" s="90">
        <f>Projconst!J8</f>
        <v>0</v>
      </c>
      <c r="L34" s="90">
        <f>Projconst!K8</f>
        <v>0</v>
      </c>
      <c r="M34" s="90">
        <f>Projconst!L8</f>
        <v>0</v>
      </c>
      <c r="N34" s="90">
        <f>Projconst!M8</f>
        <v>0</v>
      </c>
      <c r="O34" s="90">
        <f>Projconst!N8</f>
        <v>0</v>
      </c>
      <c r="P34" s="90">
        <f>Projconst!O8</f>
        <v>0</v>
      </c>
      <c r="Q34" s="90">
        <f>Projconst!P8</f>
        <v>0</v>
      </c>
      <c r="R34" s="90">
        <f>Projconst!Q8</f>
        <v>0</v>
      </c>
      <c r="S34" s="90">
        <f>Projconst!R8</f>
        <v>0</v>
      </c>
      <c r="T34" s="90">
        <f>Projconst!S8</f>
        <v>0</v>
      </c>
      <c r="U34" s="90">
        <f>Projconst!T8</f>
        <v>0</v>
      </c>
      <c r="V34" s="90">
        <f>Projconst!U8</f>
        <v>0</v>
      </c>
      <c r="W34" s="90">
        <f>Projconst!V8</f>
        <v>0</v>
      </c>
      <c r="X34" s="69">
        <f>Projconst!W8</f>
        <v>0</v>
      </c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</row>
    <row r="35" spans="1:233" s="4" customFormat="1" ht="14.1" customHeight="1">
      <c r="A35" s="93"/>
      <c r="B35" s="103"/>
      <c r="C35" s="38" t="s">
        <v>41</v>
      </c>
      <c r="D35" s="24" t="s">
        <v>7</v>
      </c>
      <c r="E35" s="55">
        <f t="shared" si="7"/>
        <v>0</v>
      </c>
      <c r="F35" s="46"/>
      <c r="G35" s="51">
        <f>Projconst!F9</f>
        <v>0</v>
      </c>
      <c r="H35" s="52">
        <f>Projconst!G9</f>
        <v>0</v>
      </c>
      <c r="I35" s="53">
        <f>Projconst!H9</f>
        <v>0</v>
      </c>
      <c r="J35" s="53">
        <f>Projconst!I9</f>
        <v>0</v>
      </c>
      <c r="K35" s="53">
        <f>Projconst!J9</f>
        <v>0</v>
      </c>
      <c r="L35" s="53">
        <f>Projconst!K9</f>
        <v>0</v>
      </c>
      <c r="M35" s="53">
        <f>Projconst!L9</f>
        <v>0</v>
      </c>
      <c r="N35" s="53">
        <f>Projconst!M9</f>
        <v>0</v>
      </c>
      <c r="O35" s="53">
        <f>Projconst!N9</f>
        <v>0</v>
      </c>
      <c r="P35" s="53">
        <f>Projconst!O9</f>
        <v>0</v>
      </c>
      <c r="Q35" s="53">
        <f>Projconst!P9</f>
        <v>0</v>
      </c>
      <c r="R35" s="53">
        <f>Projconst!Q9</f>
        <v>0</v>
      </c>
      <c r="S35" s="53">
        <f>Projconst!R9</f>
        <v>0</v>
      </c>
      <c r="T35" s="53">
        <f>Projconst!S9</f>
        <v>0</v>
      </c>
      <c r="U35" s="53">
        <f>Projconst!T9</f>
        <v>0</v>
      </c>
      <c r="V35" s="53">
        <f>Projconst!U9</f>
        <v>0</v>
      </c>
      <c r="W35" s="53">
        <f>Projconst!V9</f>
        <v>0</v>
      </c>
      <c r="X35" s="54">
        <f>Projconst!W9</f>
        <v>0</v>
      </c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</row>
    <row r="36" spans="1:233" s="4" customFormat="1" ht="14.1" customHeight="1">
      <c r="A36" s="93"/>
      <c r="B36" s="103"/>
      <c r="C36" s="38" t="s">
        <v>44</v>
      </c>
      <c r="D36" s="24" t="s">
        <v>8</v>
      </c>
      <c r="E36" s="55">
        <f t="shared" si="7"/>
        <v>0</v>
      </c>
      <c r="F36" s="46"/>
      <c r="G36" s="51">
        <f>Projconst!F10</f>
        <v>0</v>
      </c>
      <c r="H36" s="52">
        <f>Projconst!G10</f>
        <v>0</v>
      </c>
      <c r="I36" s="53">
        <f>Projconst!H10</f>
        <v>0</v>
      </c>
      <c r="J36" s="53">
        <f>Projconst!I10</f>
        <v>0</v>
      </c>
      <c r="K36" s="53">
        <f>Projconst!J10</f>
        <v>0</v>
      </c>
      <c r="L36" s="53">
        <f>Projconst!K10</f>
        <v>0</v>
      </c>
      <c r="M36" s="53">
        <f>Projconst!L10</f>
        <v>0</v>
      </c>
      <c r="N36" s="53">
        <f>Projconst!M10</f>
        <v>0</v>
      </c>
      <c r="O36" s="53">
        <f>Projconst!N10</f>
        <v>0</v>
      </c>
      <c r="P36" s="53">
        <f>Projconst!O10</f>
        <v>0</v>
      </c>
      <c r="Q36" s="53">
        <f>Projconst!P10</f>
        <v>0</v>
      </c>
      <c r="R36" s="53">
        <f>Projconst!Q10</f>
        <v>0</v>
      </c>
      <c r="S36" s="53">
        <f>Projconst!R10</f>
        <v>0</v>
      </c>
      <c r="T36" s="53">
        <f>Projconst!S10</f>
        <v>0</v>
      </c>
      <c r="U36" s="53">
        <f>Projconst!T10</f>
        <v>0</v>
      </c>
      <c r="V36" s="53">
        <f>Projconst!U10</f>
        <v>0</v>
      </c>
      <c r="W36" s="53">
        <f>Projconst!V10</f>
        <v>0</v>
      </c>
      <c r="X36" s="54">
        <f>Projconst!W10</f>
        <v>0</v>
      </c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</row>
    <row r="37" spans="1:233" s="4" customFormat="1" ht="14.1" customHeight="1">
      <c r="A37" s="93"/>
      <c r="B37" s="103"/>
      <c r="C37" s="38" t="s">
        <v>45</v>
      </c>
      <c r="D37" s="24" t="s">
        <v>29</v>
      </c>
      <c r="E37" s="55">
        <f t="shared" si="7"/>
        <v>0</v>
      </c>
      <c r="F37" s="46"/>
      <c r="G37" s="51">
        <f>Projconst!F11</f>
        <v>0</v>
      </c>
      <c r="H37" s="52">
        <f>Projconst!G11</f>
        <v>0</v>
      </c>
      <c r="I37" s="53">
        <f>Projconst!H11</f>
        <v>0</v>
      </c>
      <c r="J37" s="53">
        <f>Projconst!I11</f>
        <v>0</v>
      </c>
      <c r="K37" s="53">
        <f>Projconst!J11</f>
        <v>0</v>
      </c>
      <c r="L37" s="53">
        <f>Projconst!K11</f>
        <v>0</v>
      </c>
      <c r="M37" s="53">
        <f>Projconst!L11</f>
        <v>0</v>
      </c>
      <c r="N37" s="53">
        <f>Projconst!M11</f>
        <v>0</v>
      </c>
      <c r="O37" s="53">
        <f>Projconst!N11</f>
        <v>0</v>
      </c>
      <c r="P37" s="53">
        <f>Projconst!O11</f>
        <v>0</v>
      </c>
      <c r="Q37" s="53">
        <f>Projconst!P11</f>
        <v>0</v>
      </c>
      <c r="R37" s="53">
        <f>Projconst!Q11</f>
        <v>0</v>
      </c>
      <c r="S37" s="53">
        <f>Projconst!R11</f>
        <v>0</v>
      </c>
      <c r="T37" s="53">
        <f>Projconst!S11</f>
        <v>0</v>
      </c>
      <c r="U37" s="53">
        <f>Projconst!T11</f>
        <v>0</v>
      </c>
      <c r="V37" s="53">
        <f>Projconst!U11</f>
        <v>0</v>
      </c>
      <c r="W37" s="53">
        <f>Projconst!V11</f>
        <v>0</v>
      </c>
      <c r="X37" s="54">
        <f>Projconst!W11</f>
        <v>0</v>
      </c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</row>
    <row r="38" spans="1:233" s="4" customFormat="1" ht="14.1" customHeight="1">
      <c r="A38" s="93"/>
      <c r="B38" s="103"/>
      <c r="C38" s="38" t="s">
        <v>46</v>
      </c>
      <c r="D38" s="24" t="s">
        <v>30</v>
      </c>
      <c r="E38" s="55">
        <f t="shared" si="7"/>
        <v>0</v>
      </c>
      <c r="F38" s="46"/>
      <c r="G38" s="51">
        <f>Projconst!F12</f>
        <v>0</v>
      </c>
      <c r="H38" s="52">
        <f>Projconst!G12</f>
        <v>0</v>
      </c>
      <c r="I38" s="53">
        <f>Projconst!H12</f>
        <v>0</v>
      </c>
      <c r="J38" s="53">
        <f>Projconst!I12</f>
        <v>0</v>
      </c>
      <c r="K38" s="53">
        <f>Projconst!J12</f>
        <v>0</v>
      </c>
      <c r="L38" s="53">
        <f>Projconst!K12</f>
        <v>0</v>
      </c>
      <c r="M38" s="53">
        <f>Projconst!L12</f>
        <v>0</v>
      </c>
      <c r="N38" s="53">
        <f>Projconst!M12</f>
        <v>0</v>
      </c>
      <c r="O38" s="53">
        <f>Projconst!N12</f>
        <v>0</v>
      </c>
      <c r="P38" s="53">
        <f>Projconst!O12</f>
        <v>0</v>
      </c>
      <c r="Q38" s="53">
        <f>Projconst!P12</f>
        <v>0</v>
      </c>
      <c r="R38" s="53">
        <f>Projconst!Q12</f>
        <v>0</v>
      </c>
      <c r="S38" s="53">
        <f>Projconst!R12</f>
        <v>0</v>
      </c>
      <c r="T38" s="53">
        <f>Projconst!S12</f>
        <v>0</v>
      </c>
      <c r="U38" s="53">
        <f>Projconst!T12</f>
        <v>0</v>
      </c>
      <c r="V38" s="53">
        <f>Projconst!U12</f>
        <v>0</v>
      </c>
      <c r="W38" s="53">
        <f>Projconst!V12</f>
        <v>0</v>
      </c>
      <c r="X38" s="54">
        <f>Projconst!W12</f>
        <v>0</v>
      </c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</row>
    <row r="39" spans="1:233" s="4" customFormat="1" ht="14.1" customHeight="1">
      <c r="A39" s="93"/>
      <c r="B39" s="103"/>
      <c r="C39" s="38" t="s">
        <v>48</v>
      </c>
      <c r="D39" s="24" t="s">
        <v>31</v>
      </c>
      <c r="E39" s="55">
        <f t="shared" si="7"/>
        <v>0</v>
      </c>
      <c r="F39" s="46"/>
      <c r="G39" s="51">
        <f>Projconst!F13</f>
        <v>0</v>
      </c>
      <c r="H39" s="52">
        <f>Projconst!G13</f>
        <v>0</v>
      </c>
      <c r="I39" s="53">
        <f>Projconst!H13</f>
        <v>0</v>
      </c>
      <c r="J39" s="53">
        <f>Projconst!I13</f>
        <v>0</v>
      </c>
      <c r="K39" s="53">
        <f>Projconst!J13</f>
        <v>0</v>
      </c>
      <c r="L39" s="53">
        <f>Projconst!K13</f>
        <v>0</v>
      </c>
      <c r="M39" s="53">
        <f>Projconst!L13</f>
        <v>0</v>
      </c>
      <c r="N39" s="53">
        <f>Projconst!M13</f>
        <v>0</v>
      </c>
      <c r="O39" s="53">
        <f>Projconst!N13</f>
        <v>0</v>
      </c>
      <c r="P39" s="53">
        <f>Projconst!O13</f>
        <v>0</v>
      </c>
      <c r="Q39" s="53">
        <f>Projconst!P13</f>
        <v>0</v>
      </c>
      <c r="R39" s="53">
        <f>Projconst!Q13</f>
        <v>0</v>
      </c>
      <c r="S39" s="53">
        <f>Projconst!R13</f>
        <v>0</v>
      </c>
      <c r="T39" s="53">
        <f>Projconst!S13</f>
        <v>0</v>
      </c>
      <c r="U39" s="53">
        <f>Projconst!T13</f>
        <v>0</v>
      </c>
      <c r="V39" s="53">
        <f>Projconst!U13</f>
        <v>0</v>
      </c>
      <c r="W39" s="53">
        <f>Projconst!V13</f>
        <v>0</v>
      </c>
      <c r="X39" s="54">
        <f>Projconst!W13</f>
        <v>0</v>
      </c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</row>
    <row r="40" spans="1:233" s="4" customFormat="1" ht="14.1" customHeight="1">
      <c r="A40" s="93"/>
      <c r="B40" s="103"/>
      <c r="C40" s="38" t="s">
        <v>3</v>
      </c>
      <c r="D40" s="24" t="s">
        <v>32</v>
      </c>
      <c r="E40" s="56">
        <f t="shared" si="7"/>
        <v>0</v>
      </c>
      <c r="F40" s="46"/>
      <c r="G40" s="51">
        <f>Projconst!F14</f>
        <v>0</v>
      </c>
      <c r="H40" s="52">
        <f>Projconst!G14</f>
        <v>0</v>
      </c>
      <c r="I40" s="53">
        <f>Projconst!H14</f>
        <v>0</v>
      </c>
      <c r="J40" s="53">
        <f>Projconst!I14</f>
        <v>0</v>
      </c>
      <c r="K40" s="53">
        <f>Projconst!J14</f>
        <v>0</v>
      </c>
      <c r="L40" s="53">
        <f>Projconst!K14</f>
        <v>0</v>
      </c>
      <c r="M40" s="53">
        <f>Projconst!L14</f>
        <v>0</v>
      </c>
      <c r="N40" s="53">
        <f>Projconst!M14</f>
        <v>0</v>
      </c>
      <c r="O40" s="53">
        <f>Projconst!N14</f>
        <v>0</v>
      </c>
      <c r="P40" s="53">
        <f>Projconst!O14</f>
        <v>0</v>
      </c>
      <c r="Q40" s="53">
        <f>Projconst!P14</f>
        <v>0</v>
      </c>
      <c r="R40" s="53">
        <f>Projconst!Q14</f>
        <v>0</v>
      </c>
      <c r="S40" s="53">
        <f>Projconst!R14</f>
        <v>0</v>
      </c>
      <c r="T40" s="53">
        <f>Projconst!S14</f>
        <v>0</v>
      </c>
      <c r="U40" s="53">
        <f>Projconst!T14</f>
        <v>0</v>
      </c>
      <c r="V40" s="53">
        <f>Projconst!U14</f>
        <v>0</v>
      </c>
      <c r="W40" s="53">
        <f>Projconst!V14</f>
        <v>0</v>
      </c>
      <c r="X40" s="54">
        <f>Projconst!W14</f>
        <v>0</v>
      </c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</row>
    <row r="41" spans="1:233" s="4" customFormat="1" ht="14.1" customHeight="1">
      <c r="A41" s="93"/>
      <c r="B41" s="103"/>
      <c r="C41" s="38" t="s">
        <v>9</v>
      </c>
      <c r="D41" s="24" t="s">
        <v>42</v>
      </c>
      <c r="E41" s="56">
        <f t="shared" si="7"/>
        <v>0</v>
      </c>
      <c r="F41" s="46"/>
      <c r="G41" s="51">
        <f>Projconst!F15</f>
        <v>0</v>
      </c>
      <c r="H41" s="52">
        <f>Projconst!G15</f>
        <v>0</v>
      </c>
      <c r="I41" s="53">
        <f>Projconst!H15</f>
        <v>0</v>
      </c>
      <c r="J41" s="53">
        <f>Projconst!I15</f>
        <v>0</v>
      </c>
      <c r="K41" s="53">
        <f>Projconst!J15</f>
        <v>0</v>
      </c>
      <c r="L41" s="53">
        <f>Projconst!K15</f>
        <v>0</v>
      </c>
      <c r="M41" s="53">
        <f>Projconst!L15</f>
        <v>0</v>
      </c>
      <c r="N41" s="53">
        <f>Projconst!M15</f>
        <v>0</v>
      </c>
      <c r="O41" s="53">
        <f>Projconst!N15</f>
        <v>0</v>
      </c>
      <c r="P41" s="53">
        <f>Projconst!O15</f>
        <v>0</v>
      </c>
      <c r="Q41" s="53">
        <f>Projconst!P15</f>
        <v>0</v>
      </c>
      <c r="R41" s="53">
        <f>Projconst!Q15</f>
        <v>0</v>
      </c>
      <c r="S41" s="53">
        <f>Projconst!R15</f>
        <v>0</v>
      </c>
      <c r="T41" s="53">
        <f>Projconst!S15</f>
        <v>0</v>
      </c>
      <c r="U41" s="53">
        <f>Projconst!T15</f>
        <v>0</v>
      </c>
      <c r="V41" s="53">
        <f>Projconst!U15</f>
        <v>0</v>
      </c>
      <c r="W41" s="53">
        <f>Projconst!V15</f>
        <v>0</v>
      </c>
      <c r="X41" s="54">
        <f>Projconst!W15</f>
        <v>0</v>
      </c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</row>
    <row r="42" spans="1:233" s="4" customFormat="1" ht="14.1" customHeight="1">
      <c r="A42" s="93"/>
      <c r="B42" s="103"/>
      <c r="C42" s="38" t="s">
        <v>49</v>
      </c>
      <c r="D42" s="24" t="s">
        <v>43</v>
      </c>
      <c r="E42" s="56">
        <f t="shared" si="7"/>
        <v>0</v>
      </c>
      <c r="F42" s="46"/>
      <c r="G42" s="51">
        <f>Projconst!F16</f>
        <v>0</v>
      </c>
      <c r="H42" s="52">
        <f>Projconst!G16</f>
        <v>0</v>
      </c>
      <c r="I42" s="53">
        <f>Projconst!H16</f>
        <v>0</v>
      </c>
      <c r="J42" s="53">
        <f>Projconst!I16</f>
        <v>0</v>
      </c>
      <c r="K42" s="53">
        <f>Projconst!J16</f>
        <v>0</v>
      </c>
      <c r="L42" s="53">
        <f>Projconst!K16</f>
        <v>0</v>
      </c>
      <c r="M42" s="53">
        <f>Projconst!L16</f>
        <v>0</v>
      </c>
      <c r="N42" s="53">
        <f>Projconst!M16</f>
        <v>0</v>
      </c>
      <c r="O42" s="53">
        <f>Projconst!N16</f>
        <v>0</v>
      </c>
      <c r="P42" s="53">
        <f>Projconst!O16</f>
        <v>0</v>
      </c>
      <c r="Q42" s="53">
        <f>Projconst!P16</f>
        <v>0</v>
      </c>
      <c r="R42" s="53">
        <f>Projconst!Q16</f>
        <v>0</v>
      </c>
      <c r="S42" s="53">
        <f>Projconst!R16</f>
        <v>0</v>
      </c>
      <c r="T42" s="53">
        <f>Projconst!S16</f>
        <v>0</v>
      </c>
      <c r="U42" s="53">
        <f>Projconst!T16</f>
        <v>0</v>
      </c>
      <c r="V42" s="53">
        <f>Projconst!U16</f>
        <v>0</v>
      </c>
      <c r="W42" s="53">
        <f>Projconst!V16</f>
        <v>0</v>
      </c>
      <c r="X42" s="54">
        <f>Projconst!W16</f>
        <v>0</v>
      </c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</row>
    <row r="43" spans="1:233" s="4" customFormat="1" ht="14.1" customHeight="1" thickBot="1">
      <c r="A43" s="94"/>
      <c r="B43" s="104"/>
      <c r="C43" s="39" t="s">
        <v>50</v>
      </c>
      <c r="D43" s="25" t="s">
        <v>47</v>
      </c>
      <c r="E43" s="57">
        <f t="shared" si="7"/>
        <v>0</v>
      </c>
      <c r="F43" s="84"/>
      <c r="G43" s="58">
        <f>Projconst!F17</f>
        <v>0</v>
      </c>
      <c r="H43" s="59">
        <f>Projconst!G17</f>
        <v>0</v>
      </c>
      <c r="I43" s="60">
        <f>Projconst!H17</f>
        <v>0</v>
      </c>
      <c r="J43" s="60">
        <f>Projconst!I17</f>
        <v>0</v>
      </c>
      <c r="K43" s="60">
        <f>Projconst!J17</f>
        <v>0</v>
      </c>
      <c r="L43" s="60">
        <f>Projconst!K17</f>
        <v>0</v>
      </c>
      <c r="M43" s="60">
        <f>Projconst!L17</f>
        <v>0</v>
      </c>
      <c r="N43" s="60">
        <f>Projconst!M17</f>
        <v>0</v>
      </c>
      <c r="O43" s="60">
        <f>Projconst!N17</f>
        <v>0</v>
      </c>
      <c r="P43" s="60">
        <f>Projconst!O17</f>
        <v>0</v>
      </c>
      <c r="Q43" s="60">
        <f>Projconst!P17</f>
        <v>0</v>
      </c>
      <c r="R43" s="60">
        <f>Projconst!Q17</f>
        <v>0</v>
      </c>
      <c r="S43" s="60">
        <f>Projconst!R17</f>
        <v>0</v>
      </c>
      <c r="T43" s="60">
        <f>Projconst!S17</f>
        <v>0</v>
      </c>
      <c r="U43" s="60">
        <f>Projconst!T17</f>
        <v>0</v>
      </c>
      <c r="V43" s="60">
        <f>Projconst!U17</f>
        <v>0</v>
      </c>
      <c r="W43" s="60">
        <f>Projconst!V17</f>
        <v>0</v>
      </c>
      <c r="X43" s="61">
        <f>Projconst!W17</f>
        <v>0</v>
      </c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</row>
    <row r="44" spans="1:233" ht="14.1" customHeight="1" thickBot="1">
      <c r="A44" s="18"/>
      <c r="B44" s="18"/>
      <c r="C44" s="82"/>
      <c r="D44" s="2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</row>
    <row r="45" spans="1:233" s="4" customFormat="1" ht="14.1" customHeight="1">
      <c r="A45" s="92">
        <v>3</v>
      </c>
      <c r="B45" s="102" t="s">
        <v>16</v>
      </c>
      <c r="C45" s="38" t="s">
        <v>38</v>
      </c>
      <c r="D45" s="23" t="s">
        <v>4</v>
      </c>
      <c r="E45" s="55">
        <f t="shared" ref="E45:E56" si="8">SUM(G45:X45)</f>
        <v>0</v>
      </c>
      <c r="F45" s="83"/>
      <c r="G45" s="47">
        <f>Procure!F6</f>
        <v>0</v>
      </c>
      <c r="H45" s="48">
        <f>Procure!G6</f>
        <v>0</v>
      </c>
      <c r="I45" s="49">
        <f>Procure!H6</f>
        <v>0</v>
      </c>
      <c r="J45" s="49">
        <f>Procure!I6</f>
        <v>0</v>
      </c>
      <c r="K45" s="49">
        <f>Procure!J6</f>
        <v>0</v>
      </c>
      <c r="L45" s="49">
        <f>Procure!K6</f>
        <v>0</v>
      </c>
      <c r="M45" s="49">
        <f>Procure!L6</f>
        <v>0</v>
      </c>
      <c r="N45" s="49">
        <f>Procure!M6</f>
        <v>0</v>
      </c>
      <c r="O45" s="49">
        <f>Procure!N6</f>
        <v>0</v>
      </c>
      <c r="P45" s="49">
        <f>Procure!O6</f>
        <v>0</v>
      </c>
      <c r="Q45" s="49">
        <f>Procure!P6</f>
        <v>0</v>
      </c>
      <c r="R45" s="49">
        <f>Procure!Q6</f>
        <v>0</v>
      </c>
      <c r="S45" s="49">
        <f>Procure!R6</f>
        <v>0</v>
      </c>
      <c r="T45" s="49">
        <f>Procure!S6</f>
        <v>0</v>
      </c>
      <c r="U45" s="49">
        <f>Procure!T6</f>
        <v>0</v>
      </c>
      <c r="V45" s="49">
        <f>Procure!U6</f>
        <v>0</v>
      </c>
      <c r="W45" s="49">
        <f>Procure!V6</f>
        <v>0</v>
      </c>
      <c r="X45" s="50">
        <f>Procure!W6</f>
        <v>0</v>
      </c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</row>
    <row r="46" spans="1:233" s="4" customFormat="1" ht="14.1" customHeight="1">
      <c r="A46" s="93"/>
      <c r="B46" s="103"/>
      <c r="C46" s="38" t="s">
        <v>39</v>
      </c>
      <c r="D46" s="42" t="s">
        <v>5</v>
      </c>
      <c r="E46" s="55">
        <f t="shared" si="8"/>
        <v>0</v>
      </c>
      <c r="F46" s="46"/>
      <c r="G46" s="67">
        <f>Procure!F7</f>
        <v>0</v>
      </c>
      <c r="H46" s="68">
        <f>Procure!G7</f>
        <v>0</v>
      </c>
      <c r="I46" s="90">
        <f>Procure!H7</f>
        <v>0</v>
      </c>
      <c r="J46" s="90">
        <f>Procure!I7</f>
        <v>0</v>
      </c>
      <c r="K46" s="90">
        <f>Procure!J7</f>
        <v>0</v>
      </c>
      <c r="L46" s="90">
        <f>Procure!K7</f>
        <v>0</v>
      </c>
      <c r="M46" s="90">
        <f>Procure!L7</f>
        <v>0</v>
      </c>
      <c r="N46" s="90">
        <f>Procure!M7</f>
        <v>0</v>
      </c>
      <c r="O46" s="90">
        <f>Procure!N7</f>
        <v>0</v>
      </c>
      <c r="P46" s="90">
        <f>Procure!O7</f>
        <v>0</v>
      </c>
      <c r="Q46" s="90">
        <f>Procure!P7</f>
        <v>0</v>
      </c>
      <c r="R46" s="90">
        <f>Procure!Q7</f>
        <v>0</v>
      </c>
      <c r="S46" s="90">
        <f>Procure!R7</f>
        <v>0</v>
      </c>
      <c r="T46" s="90">
        <f>Procure!S7</f>
        <v>0</v>
      </c>
      <c r="U46" s="90">
        <f>Procure!T7</f>
        <v>0</v>
      </c>
      <c r="V46" s="90">
        <f>Procure!U7</f>
        <v>0</v>
      </c>
      <c r="W46" s="90">
        <f>Procure!V7</f>
        <v>0</v>
      </c>
      <c r="X46" s="69">
        <f>Procure!W7</f>
        <v>0</v>
      </c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</row>
    <row r="47" spans="1:233" s="4" customFormat="1" ht="14.1" customHeight="1">
      <c r="A47" s="93"/>
      <c r="B47" s="103"/>
      <c r="C47" s="38" t="s">
        <v>40</v>
      </c>
      <c r="D47" s="42" t="s">
        <v>6</v>
      </c>
      <c r="E47" s="55">
        <f t="shared" si="8"/>
        <v>0</v>
      </c>
      <c r="F47" s="46"/>
      <c r="G47" s="67">
        <f>Procure!F8</f>
        <v>0</v>
      </c>
      <c r="H47" s="68">
        <f>Procure!G8</f>
        <v>0</v>
      </c>
      <c r="I47" s="90">
        <f>Procure!H8</f>
        <v>0</v>
      </c>
      <c r="J47" s="90">
        <f>Procure!I8</f>
        <v>0</v>
      </c>
      <c r="K47" s="90">
        <f>Procure!J8</f>
        <v>0</v>
      </c>
      <c r="L47" s="90">
        <f>Procure!K8</f>
        <v>0</v>
      </c>
      <c r="M47" s="90">
        <f>Procure!L8</f>
        <v>0</v>
      </c>
      <c r="N47" s="90">
        <f>Procure!M8</f>
        <v>0</v>
      </c>
      <c r="O47" s="90">
        <f>Procure!N8</f>
        <v>0</v>
      </c>
      <c r="P47" s="90">
        <f>Procure!O8</f>
        <v>0</v>
      </c>
      <c r="Q47" s="90">
        <f>Procure!P8</f>
        <v>0</v>
      </c>
      <c r="R47" s="90">
        <f>Procure!Q8</f>
        <v>0</v>
      </c>
      <c r="S47" s="90">
        <f>Procure!R8</f>
        <v>0</v>
      </c>
      <c r="T47" s="90">
        <f>Procure!S8</f>
        <v>0</v>
      </c>
      <c r="U47" s="90">
        <f>Procure!T8</f>
        <v>0</v>
      </c>
      <c r="V47" s="90">
        <f>Procure!U8</f>
        <v>0</v>
      </c>
      <c r="W47" s="90">
        <f>Procure!V8</f>
        <v>0</v>
      </c>
      <c r="X47" s="69">
        <f>Procure!W8</f>
        <v>0</v>
      </c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</row>
    <row r="48" spans="1:233" s="4" customFormat="1" ht="14.1" customHeight="1">
      <c r="A48" s="93"/>
      <c r="B48" s="103"/>
      <c r="C48" s="38" t="s">
        <v>41</v>
      </c>
      <c r="D48" s="42" t="s">
        <v>7</v>
      </c>
      <c r="E48" s="55">
        <f t="shared" si="8"/>
        <v>0</v>
      </c>
      <c r="F48" s="46"/>
      <c r="G48" s="67">
        <f>Procure!F9</f>
        <v>0</v>
      </c>
      <c r="H48" s="68">
        <f>Procure!G9</f>
        <v>0</v>
      </c>
      <c r="I48" s="90">
        <f>Procure!H9</f>
        <v>0</v>
      </c>
      <c r="J48" s="90">
        <f>Procure!I9</f>
        <v>0</v>
      </c>
      <c r="K48" s="90">
        <f>Procure!J9</f>
        <v>0</v>
      </c>
      <c r="L48" s="90">
        <f>Procure!K9</f>
        <v>0</v>
      </c>
      <c r="M48" s="90">
        <f>Procure!L9</f>
        <v>0</v>
      </c>
      <c r="N48" s="90">
        <f>Procure!M9</f>
        <v>0</v>
      </c>
      <c r="O48" s="90">
        <f>Procure!N9</f>
        <v>0</v>
      </c>
      <c r="P48" s="90">
        <f>Procure!O9</f>
        <v>0</v>
      </c>
      <c r="Q48" s="90">
        <f>Procure!P9</f>
        <v>0</v>
      </c>
      <c r="R48" s="90">
        <f>Procure!Q9</f>
        <v>0</v>
      </c>
      <c r="S48" s="90">
        <f>Procure!R9</f>
        <v>0</v>
      </c>
      <c r="T48" s="90">
        <f>Procure!S9</f>
        <v>0</v>
      </c>
      <c r="U48" s="90">
        <f>Procure!T9</f>
        <v>0</v>
      </c>
      <c r="V48" s="90">
        <f>Procure!U9</f>
        <v>0</v>
      </c>
      <c r="W48" s="90">
        <f>Procure!V9</f>
        <v>0</v>
      </c>
      <c r="X48" s="69">
        <f>Procure!W9</f>
        <v>0</v>
      </c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</row>
    <row r="49" spans="1:233" s="4" customFormat="1" ht="14.1" customHeight="1">
      <c r="A49" s="93"/>
      <c r="B49" s="103"/>
      <c r="C49" s="38" t="s">
        <v>44</v>
      </c>
      <c r="D49" s="24" t="s">
        <v>8</v>
      </c>
      <c r="E49" s="55">
        <f t="shared" si="8"/>
        <v>0</v>
      </c>
      <c r="F49" s="46"/>
      <c r="G49" s="51">
        <f>Procure!F10</f>
        <v>0</v>
      </c>
      <c r="H49" s="52">
        <f>Procure!G10</f>
        <v>0</v>
      </c>
      <c r="I49" s="53">
        <f>Procure!H10</f>
        <v>0</v>
      </c>
      <c r="J49" s="53">
        <f>Procure!I10</f>
        <v>0</v>
      </c>
      <c r="K49" s="53">
        <f>Procure!J10</f>
        <v>0</v>
      </c>
      <c r="L49" s="53">
        <f>Procure!K10</f>
        <v>0</v>
      </c>
      <c r="M49" s="53">
        <f>Procure!L10</f>
        <v>0</v>
      </c>
      <c r="N49" s="53">
        <f>Procure!M10</f>
        <v>0</v>
      </c>
      <c r="O49" s="53">
        <f>Procure!N10</f>
        <v>0</v>
      </c>
      <c r="P49" s="53">
        <f>Procure!O10</f>
        <v>0</v>
      </c>
      <c r="Q49" s="53">
        <f>Procure!P10</f>
        <v>0</v>
      </c>
      <c r="R49" s="53">
        <f>Procure!Q10</f>
        <v>0</v>
      </c>
      <c r="S49" s="53">
        <f>Procure!R10</f>
        <v>0</v>
      </c>
      <c r="T49" s="53">
        <f>Procure!S10</f>
        <v>0</v>
      </c>
      <c r="U49" s="53">
        <f>Procure!T10</f>
        <v>0</v>
      </c>
      <c r="V49" s="53">
        <f>Procure!U10</f>
        <v>0</v>
      </c>
      <c r="W49" s="53">
        <f>Procure!V10</f>
        <v>0</v>
      </c>
      <c r="X49" s="54">
        <f>Procure!W10</f>
        <v>0</v>
      </c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</row>
    <row r="50" spans="1:233" s="4" customFormat="1" ht="14.1" customHeight="1">
      <c r="A50" s="93"/>
      <c r="B50" s="103"/>
      <c r="C50" s="38" t="s">
        <v>45</v>
      </c>
      <c r="D50" s="24" t="s">
        <v>29</v>
      </c>
      <c r="E50" s="55">
        <f t="shared" si="8"/>
        <v>0</v>
      </c>
      <c r="F50" s="46"/>
      <c r="G50" s="51">
        <f>Procure!F11</f>
        <v>0</v>
      </c>
      <c r="H50" s="52">
        <f>Procure!G11</f>
        <v>0</v>
      </c>
      <c r="I50" s="53">
        <f>Procure!H11</f>
        <v>0</v>
      </c>
      <c r="J50" s="53">
        <f>Procure!I11</f>
        <v>0</v>
      </c>
      <c r="K50" s="53">
        <f>Procure!J11</f>
        <v>0</v>
      </c>
      <c r="L50" s="53">
        <f>Procure!K11</f>
        <v>0</v>
      </c>
      <c r="M50" s="53">
        <f>Procure!L11</f>
        <v>0</v>
      </c>
      <c r="N50" s="53">
        <f>Procure!M11</f>
        <v>0</v>
      </c>
      <c r="O50" s="53">
        <f>Procure!N11</f>
        <v>0</v>
      </c>
      <c r="P50" s="53">
        <f>Procure!O11</f>
        <v>0</v>
      </c>
      <c r="Q50" s="53">
        <f>Procure!P11</f>
        <v>0</v>
      </c>
      <c r="R50" s="53">
        <f>Procure!Q11</f>
        <v>0</v>
      </c>
      <c r="S50" s="53">
        <f>Procure!R11</f>
        <v>0</v>
      </c>
      <c r="T50" s="53">
        <f>Procure!S11</f>
        <v>0</v>
      </c>
      <c r="U50" s="53">
        <f>Procure!T11</f>
        <v>0</v>
      </c>
      <c r="V50" s="53">
        <f>Procure!U11</f>
        <v>0</v>
      </c>
      <c r="W50" s="53">
        <f>Procure!V11</f>
        <v>0</v>
      </c>
      <c r="X50" s="54">
        <f>Procure!W11</f>
        <v>0</v>
      </c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</row>
    <row r="51" spans="1:233" s="4" customFormat="1" ht="14.1" customHeight="1">
      <c r="A51" s="93"/>
      <c r="B51" s="103"/>
      <c r="C51" s="38" t="s">
        <v>46</v>
      </c>
      <c r="D51" s="24" t="s">
        <v>30</v>
      </c>
      <c r="E51" s="55">
        <f t="shared" si="8"/>
        <v>0</v>
      </c>
      <c r="F51" s="46"/>
      <c r="G51" s="51">
        <f>Procure!F12</f>
        <v>0</v>
      </c>
      <c r="H51" s="52">
        <f>Procure!G12</f>
        <v>0</v>
      </c>
      <c r="I51" s="53">
        <f>Procure!H12</f>
        <v>0</v>
      </c>
      <c r="J51" s="53">
        <f>Procure!I12</f>
        <v>0</v>
      </c>
      <c r="K51" s="53">
        <f>Procure!J12</f>
        <v>0</v>
      </c>
      <c r="L51" s="53">
        <f>Procure!K12</f>
        <v>0</v>
      </c>
      <c r="M51" s="53">
        <f>Procure!L12</f>
        <v>0</v>
      </c>
      <c r="N51" s="53">
        <f>Procure!M12</f>
        <v>0</v>
      </c>
      <c r="O51" s="53">
        <f>Procure!N12</f>
        <v>0</v>
      </c>
      <c r="P51" s="53">
        <f>Procure!O12</f>
        <v>0</v>
      </c>
      <c r="Q51" s="53">
        <f>Procure!P12</f>
        <v>0</v>
      </c>
      <c r="R51" s="53">
        <f>Procure!Q12</f>
        <v>0</v>
      </c>
      <c r="S51" s="53">
        <f>Procure!R12</f>
        <v>0</v>
      </c>
      <c r="T51" s="53">
        <f>Procure!S12</f>
        <v>0</v>
      </c>
      <c r="U51" s="53">
        <f>Procure!T12</f>
        <v>0</v>
      </c>
      <c r="V51" s="53">
        <f>Procure!U12</f>
        <v>0</v>
      </c>
      <c r="W51" s="53">
        <f>Procure!V12</f>
        <v>0</v>
      </c>
      <c r="X51" s="54">
        <f>Procure!W12</f>
        <v>0</v>
      </c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</row>
    <row r="52" spans="1:233" s="4" customFormat="1" ht="14.1" customHeight="1">
      <c r="A52" s="93"/>
      <c r="B52" s="103"/>
      <c r="C52" s="38" t="s">
        <v>48</v>
      </c>
      <c r="D52" s="24" t="s">
        <v>31</v>
      </c>
      <c r="E52" s="55">
        <f t="shared" si="8"/>
        <v>0</v>
      </c>
      <c r="F52" s="46"/>
      <c r="G52" s="51">
        <f>Procure!F13</f>
        <v>0</v>
      </c>
      <c r="H52" s="52">
        <f>Procure!G13</f>
        <v>0</v>
      </c>
      <c r="I52" s="53">
        <f>Procure!H13</f>
        <v>0</v>
      </c>
      <c r="J52" s="53">
        <f>Procure!I13</f>
        <v>0</v>
      </c>
      <c r="K52" s="53">
        <f>Procure!J13</f>
        <v>0</v>
      </c>
      <c r="L52" s="53">
        <f>Procure!K13</f>
        <v>0</v>
      </c>
      <c r="M52" s="53">
        <f>Procure!L13</f>
        <v>0</v>
      </c>
      <c r="N52" s="53">
        <f>Procure!M13</f>
        <v>0</v>
      </c>
      <c r="O52" s="53">
        <f>Procure!N13</f>
        <v>0</v>
      </c>
      <c r="P52" s="53">
        <f>Procure!O13</f>
        <v>0</v>
      </c>
      <c r="Q52" s="53">
        <f>Procure!P13</f>
        <v>0</v>
      </c>
      <c r="R52" s="53">
        <f>Procure!Q13</f>
        <v>0</v>
      </c>
      <c r="S52" s="53">
        <f>Procure!R13</f>
        <v>0</v>
      </c>
      <c r="T52" s="53">
        <f>Procure!S13</f>
        <v>0</v>
      </c>
      <c r="U52" s="53">
        <f>Procure!T13</f>
        <v>0</v>
      </c>
      <c r="V52" s="53">
        <f>Procure!U13</f>
        <v>0</v>
      </c>
      <c r="W52" s="53">
        <f>Procure!V13</f>
        <v>0</v>
      </c>
      <c r="X52" s="54">
        <f>Procure!W13</f>
        <v>0</v>
      </c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</row>
    <row r="53" spans="1:233" s="4" customFormat="1" ht="14.1" customHeight="1">
      <c r="A53" s="93"/>
      <c r="B53" s="103"/>
      <c r="C53" s="38" t="s">
        <v>3</v>
      </c>
      <c r="D53" s="24" t="s">
        <v>32</v>
      </c>
      <c r="E53" s="55">
        <f t="shared" si="8"/>
        <v>0</v>
      </c>
      <c r="F53" s="46"/>
      <c r="G53" s="51">
        <f>Procure!F14</f>
        <v>0</v>
      </c>
      <c r="H53" s="52">
        <f>Procure!G14</f>
        <v>0</v>
      </c>
      <c r="I53" s="53">
        <f>Procure!H14</f>
        <v>0</v>
      </c>
      <c r="J53" s="53">
        <f>Procure!I14</f>
        <v>0</v>
      </c>
      <c r="K53" s="53">
        <f>Procure!J14</f>
        <v>0</v>
      </c>
      <c r="L53" s="53">
        <f>Procure!K14</f>
        <v>0</v>
      </c>
      <c r="M53" s="53">
        <f>Procure!L14</f>
        <v>0</v>
      </c>
      <c r="N53" s="53">
        <f>Procure!M14</f>
        <v>0</v>
      </c>
      <c r="O53" s="53">
        <f>Procure!N14</f>
        <v>0</v>
      </c>
      <c r="P53" s="53">
        <f>Procure!O14</f>
        <v>0</v>
      </c>
      <c r="Q53" s="53">
        <f>Procure!P14</f>
        <v>0</v>
      </c>
      <c r="R53" s="53">
        <f>Procure!Q14</f>
        <v>0</v>
      </c>
      <c r="S53" s="53">
        <f>Procure!R14</f>
        <v>0</v>
      </c>
      <c r="T53" s="53">
        <f>Procure!S14</f>
        <v>0</v>
      </c>
      <c r="U53" s="53">
        <f>Procure!T14</f>
        <v>0</v>
      </c>
      <c r="V53" s="53">
        <f>Procure!U14</f>
        <v>0</v>
      </c>
      <c r="W53" s="53">
        <f>Procure!V14</f>
        <v>0</v>
      </c>
      <c r="X53" s="54">
        <f>Procure!W14</f>
        <v>0</v>
      </c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</row>
    <row r="54" spans="1:233" s="4" customFormat="1" ht="14.1" customHeight="1">
      <c r="A54" s="93"/>
      <c r="B54" s="103"/>
      <c r="C54" s="38" t="s">
        <v>9</v>
      </c>
      <c r="D54" s="24" t="s">
        <v>42</v>
      </c>
      <c r="E54" s="56">
        <f t="shared" si="8"/>
        <v>0</v>
      </c>
      <c r="F54" s="46"/>
      <c r="G54" s="51">
        <f>Procure!F15</f>
        <v>0</v>
      </c>
      <c r="H54" s="52">
        <f>Procure!G15</f>
        <v>0</v>
      </c>
      <c r="I54" s="53">
        <f>Procure!H15</f>
        <v>0</v>
      </c>
      <c r="J54" s="53">
        <f>Procure!I15</f>
        <v>0</v>
      </c>
      <c r="K54" s="53">
        <f>Procure!J15</f>
        <v>0</v>
      </c>
      <c r="L54" s="53">
        <f>Procure!K15</f>
        <v>0</v>
      </c>
      <c r="M54" s="53">
        <f>Procure!L15</f>
        <v>0</v>
      </c>
      <c r="N54" s="53">
        <f>Procure!M15</f>
        <v>0</v>
      </c>
      <c r="O54" s="53">
        <f>Procure!N15</f>
        <v>0</v>
      </c>
      <c r="P54" s="53">
        <f>Procure!O15</f>
        <v>0</v>
      </c>
      <c r="Q54" s="53">
        <f>Procure!P15</f>
        <v>0</v>
      </c>
      <c r="R54" s="53">
        <f>Procure!Q15</f>
        <v>0</v>
      </c>
      <c r="S54" s="53">
        <f>Procure!R15</f>
        <v>0</v>
      </c>
      <c r="T54" s="53">
        <f>Procure!S15</f>
        <v>0</v>
      </c>
      <c r="U54" s="53">
        <f>Procure!T15</f>
        <v>0</v>
      </c>
      <c r="V54" s="53">
        <f>Procure!U15</f>
        <v>0</v>
      </c>
      <c r="W54" s="53">
        <f>Procure!V15</f>
        <v>0</v>
      </c>
      <c r="X54" s="54">
        <f>Procure!W15</f>
        <v>0</v>
      </c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</row>
    <row r="55" spans="1:233" s="4" customFormat="1" ht="14.1" customHeight="1">
      <c r="A55" s="93"/>
      <c r="B55" s="103"/>
      <c r="C55" s="38" t="s">
        <v>49</v>
      </c>
      <c r="D55" s="24" t="s">
        <v>43</v>
      </c>
      <c r="E55" s="56">
        <f t="shared" si="8"/>
        <v>0</v>
      </c>
      <c r="F55" s="46"/>
      <c r="G55" s="51">
        <f>Procure!F16</f>
        <v>0</v>
      </c>
      <c r="H55" s="52">
        <f>Procure!G16</f>
        <v>0</v>
      </c>
      <c r="I55" s="53">
        <f>Procure!H16</f>
        <v>0</v>
      </c>
      <c r="J55" s="53">
        <f>Procure!I16</f>
        <v>0</v>
      </c>
      <c r="K55" s="53">
        <f>Procure!J16</f>
        <v>0</v>
      </c>
      <c r="L55" s="53">
        <f>Procure!K16</f>
        <v>0</v>
      </c>
      <c r="M55" s="53">
        <f>Procure!L16</f>
        <v>0</v>
      </c>
      <c r="N55" s="53">
        <f>Procure!M16</f>
        <v>0</v>
      </c>
      <c r="O55" s="53">
        <f>Procure!N16</f>
        <v>0</v>
      </c>
      <c r="P55" s="53">
        <f>Procure!O16</f>
        <v>0</v>
      </c>
      <c r="Q55" s="53">
        <f>Procure!P16</f>
        <v>0</v>
      </c>
      <c r="R55" s="53">
        <f>Procure!Q16</f>
        <v>0</v>
      </c>
      <c r="S55" s="53">
        <f>Procure!R16</f>
        <v>0</v>
      </c>
      <c r="T55" s="53">
        <f>Procure!S16</f>
        <v>0</v>
      </c>
      <c r="U55" s="53">
        <f>Procure!T16</f>
        <v>0</v>
      </c>
      <c r="V55" s="53">
        <f>Procure!U16</f>
        <v>0</v>
      </c>
      <c r="W55" s="53">
        <f>Procure!V16</f>
        <v>0</v>
      </c>
      <c r="X55" s="54">
        <f>Procure!W16</f>
        <v>0</v>
      </c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</row>
    <row r="56" spans="1:233" s="4" customFormat="1" ht="14.1" customHeight="1" thickBot="1">
      <c r="A56" s="94"/>
      <c r="B56" s="104"/>
      <c r="C56" s="39" t="s">
        <v>50</v>
      </c>
      <c r="D56" s="25" t="s">
        <v>47</v>
      </c>
      <c r="E56" s="57">
        <f t="shared" si="8"/>
        <v>0</v>
      </c>
      <c r="F56" s="84"/>
      <c r="G56" s="58">
        <f>Procure!F17</f>
        <v>0</v>
      </c>
      <c r="H56" s="59">
        <f>Procure!G17</f>
        <v>0</v>
      </c>
      <c r="I56" s="60">
        <f>Procure!H17</f>
        <v>0</v>
      </c>
      <c r="J56" s="60">
        <f>Procure!I17</f>
        <v>0</v>
      </c>
      <c r="K56" s="60">
        <f>Procure!J17</f>
        <v>0</v>
      </c>
      <c r="L56" s="60">
        <f>Procure!K17</f>
        <v>0</v>
      </c>
      <c r="M56" s="60">
        <f>Procure!L17</f>
        <v>0</v>
      </c>
      <c r="N56" s="60">
        <f>Procure!M17</f>
        <v>0</v>
      </c>
      <c r="O56" s="60">
        <f>Procure!N17</f>
        <v>0</v>
      </c>
      <c r="P56" s="60">
        <f>Procure!O17</f>
        <v>0</v>
      </c>
      <c r="Q56" s="60">
        <f>Procure!P17</f>
        <v>0</v>
      </c>
      <c r="R56" s="60">
        <f>Procure!Q17</f>
        <v>0</v>
      </c>
      <c r="S56" s="60">
        <f>Procure!R17</f>
        <v>0</v>
      </c>
      <c r="T56" s="60">
        <f>Procure!S17</f>
        <v>0</v>
      </c>
      <c r="U56" s="60">
        <f>Procure!T17</f>
        <v>0</v>
      </c>
      <c r="V56" s="60">
        <f>Procure!U17</f>
        <v>0</v>
      </c>
      <c r="W56" s="60">
        <f>Procure!V17</f>
        <v>0</v>
      </c>
      <c r="X56" s="61">
        <f>Procure!W17</f>
        <v>0</v>
      </c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</row>
    <row r="57" spans="1:233" ht="14.1" customHeight="1" thickBot="1">
      <c r="A57" s="18"/>
      <c r="B57" s="18"/>
      <c r="C57" s="82"/>
      <c r="D57" s="20"/>
      <c r="E57" s="70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</row>
    <row r="58" spans="1:233" s="4" customFormat="1" ht="14.1" customHeight="1">
      <c r="A58" s="92">
        <v>4</v>
      </c>
      <c r="B58" s="102" t="s">
        <v>33</v>
      </c>
      <c r="C58" s="38" t="s">
        <v>38</v>
      </c>
      <c r="D58" s="23" t="s">
        <v>4</v>
      </c>
      <c r="E58" s="55">
        <f t="shared" ref="E58:E69" si="9">SUM(G58:X58)</f>
        <v>0</v>
      </c>
      <c r="F58" s="83"/>
      <c r="G58" s="47">
        <f>Construction!F6</f>
        <v>0</v>
      </c>
      <c r="H58" s="48">
        <f>Construction!G6</f>
        <v>0</v>
      </c>
      <c r="I58" s="49">
        <f>Construction!H6</f>
        <v>0</v>
      </c>
      <c r="J58" s="49">
        <f>Construction!I6</f>
        <v>0</v>
      </c>
      <c r="K58" s="49">
        <f>Construction!J6</f>
        <v>0</v>
      </c>
      <c r="L58" s="49">
        <f>Construction!K6</f>
        <v>0</v>
      </c>
      <c r="M58" s="49">
        <f>Construction!L6</f>
        <v>0</v>
      </c>
      <c r="N58" s="49">
        <f>Construction!M6</f>
        <v>0</v>
      </c>
      <c r="O58" s="49">
        <f>Construction!N6</f>
        <v>0</v>
      </c>
      <c r="P58" s="49">
        <f>Construction!O6</f>
        <v>0</v>
      </c>
      <c r="Q58" s="49">
        <f>Construction!P6</f>
        <v>0</v>
      </c>
      <c r="R58" s="49">
        <f>Construction!Q6</f>
        <v>0</v>
      </c>
      <c r="S58" s="49">
        <f>Construction!R6</f>
        <v>0</v>
      </c>
      <c r="T58" s="49">
        <f>Construction!S6</f>
        <v>0</v>
      </c>
      <c r="U58" s="49">
        <f>Construction!T6</f>
        <v>0</v>
      </c>
      <c r="V58" s="49">
        <f>Construction!U6</f>
        <v>0</v>
      </c>
      <c r="W58" s="49">
        <f>Construction!V6</f>
        <v>0</v>
      </c>
      <c r="X58" s="50">
        <f>Construction!W6</f>
        <v>0</v>
      </c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</row>
    <row r="59" spans="1:233" s="4" customFormat="1" ht="14.1" customHeight="1">
      <c r="A59" s="93"/>
      <c r="B59" s="103"/>
      <c r="C59" s="38" t="s">
        <v>39</v>
      </c>
      <c r="D59" s="42" t="s">
        <v>5</v>
      </c>
      <c r="E59" s="55">
        <f t="shared" si="9"/>
        <v>0</v>
      </c>
      <c r="F59" s="46"/>
      <c r="G59" s="67">
        <f>Construction!F7</f>
        <v>0</v>
      </c>
      <c r="H59" s="68">
        <f>Construction!G7</f>
        <v>0</v>
      </c>
      <c r="I59" s="90">
        <f>Construction!H7</f>
        <v>0</v>
      </c>
      <c r="J59" s="90">
        <f>Construction!I7</f>
        <v>0</v>
      </c>
      <c r="K59" s="90">
        <f>Construction!J7</f>
        <v>0</v>
      </c>
      <c r="L59" s="90">
        <f>Construction!K7</f>
        <v>0</v>
      </c>
      <c r="M59" s="90">
        <f>Construction!L7</f>
        <v>0</v>
      </c>
      <c r="N59" s="90">
        <f>Construction!M7</f>
        <v>0</v>
      </c>
      <c r="O59" s="90">
        <f>Construction!N7</f>
        <v>0</v>
      </c>
      <c r="P59" s="90">
        <f>Construction!O7</f>
        <v>0</v>
      </c>
      <c r="Q59" s="90">
        <f>Construction!P7</f>
        <v>0</v>
      </c>
      <c r="R59" s="90">
        <f>Construction!Q7</f>
        <v>0</v>
      </c>
      <c r="S59" s="90">
        <f>Construction!R7</f>
        <v>0</v>
      </c>
      <c r="T59" s="90">
        <f>Construction!S7</f>
        <v>0</v>
      </c>
      <c r="U59" s="90">
        <f>Construction!T7</f>
        <v>0</v>
      </c>
      <c r="V59" s="90">
        <f>Construction!U7</f>
        <v>0</v>
      </c>
      <c r="W59" s="90">
        <f>Construction!V7</f>
        <v>0</v>
      </c>
      <c r="X59" s="69">
        <f>Construction!W7</f>
        <v>0</v>
      </c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</row>
    <row r="60" spans="1:233" s="4" customFormat="1" ht="14.1" customHeight="1">
      <c r="A60" s="93"/>
      <c r="B60" s="103"/>
      <c r="C60" s="38" t="s">
        <v>40</v>
      </c>
      <c r="D60" s="42" t="s">
        <v>6</v>
      </c>
      <c r="E60" s="55">
        <f t="shared" si="9"/>
        <v>0</v>
      </c>
      <c r="F60" s="46"/>
      <c r="G60" s="67">
        <f>Construction!F8</f>
        <v>0</v>
      </c>
      <c r="H60" s="68">
        <f>Construction!G8</f>
        <v>0</v>
      </c>
      <c r="I60" s="90">
        <f>Construction!H8</f>
        <v>0</v>
      </c>
      <c r="J60" s="90">
        <f>Construction!I8</f>
        <v>0</v>
      </c>
      <c r="K60" s="90">
        <f>Construction!J8</f>
        <v>0</v>
      </c>
      <c r="L60" s="90">
        <f>Construction!K8</f>
        <v>0</v>
      </c>
      <c r="M60" s="90">
        <f>Construction!L8</f>
        <v>0</v>
      </c>
      <c r="N60" s="90">
        <f>Construction!M8</f>
        <v>0</v>
      </c>
      <c r="O60" s="90">
        <f>Construction!N8</f>
        <v>0</v>
      </c>
      <c r="P60" s="90">
        <f>Construction!O8</f>
        <v>0</v>
      </c>
      <c r="Q60" s="90">
        <f>Construction!P8</f>
        <v>0</v>
      </c>
      <c r="R60" s="90">
        <f>Construction!Q8</f>
        <v>0</v>
      </c>
      <c r="S60" s="90">
        <f>Construction!R8</f>
        <v>0</v>
      </c>
      <c r="T60" s="90">
        <f>Construction!S8</f>
        <v>0</v>
      </c>
      <c r="U60" s="90">
        <f>Construction!T8</f>
        <v>0</v>
      </c>
      <c r="V60" s="90">
        <f>Construction!U8</f>
        <v>0</v>
      </c>
      <c r="W60" s="90">
        <f>Construction!V8</f>
        <v>0</v>
      </c>
      <c r="X60" s="69">
        <f>Construction!W8</f>
        <v>0</v>
      </c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</row>
    <row r="61" spans="1:233" s="4" customFormat="1" ht="14.1" customHeight="1">
      <c r="A61" s="93"/>
      <c r="B61" s="103"/>
      <c r="C61" s="38" t="s">
        <v>41</v>
      </c>
      <c r="D61" s="42" t="s">
        <v>7</v>
      </c>
      <c r="E61" s="55">
        <f t="shared" si="9"/>
        <v>0</v>
      </c>
      <c r="F61" s="46"/>
      <c r="G61" s="67">
        <f>Construction!F9</f>
        <v>0</v>
      </c>
      <c r="H61" s="68">
        <f>Construction!G9</f>
        <v>0</v>
      </c>
      <c r="I61" s="90">
        <f>Construction!H9</f>
        <v>0</v>
      </c>
      <c r="J61" s="90">
        <f>Construction!I9</f>
        <v>0</v>
      </c>
      <c r="K61" s="90">
        <f>Construction!J9</f>
        <v>0</v>
      </c>
      <c r="L61" s="90">
        <f>Construction!K9</f>
        <v>0</v>
      </c>
      <c r="M61" s="90">
        <f>Construction!L9</f>
        <v>0</v>
      </c>
      <c r="N61" s="90">
        <f>Construction!M9</f>
        <v>0</v>
      </c>
      <c r="O61" s="90">
        <f>Construction!N9</f>
        <v>0</v>
      </c>
      <c r="P61" s="90">
        <f>Construction!O9</f>
        <v>0</v>
      </c>
      <c r="Q61" s="90">
        <f>Construction!P9</f>
        <v>0</v>
      </c>
      <c r="R61" s="90">
        <f>Construction!Q9</f>
        <v>0</v>
      </c>
      <c r="S61" s="90">
        <f>Construction!R9</f>
        <v>0</v>
      </c>
      <c r="T61" s="90">
        <f>Construction!S9</f>
        <v>0</v>
      </c>
      <c r="U61" s="90">
        <f>Construction!T9</f>
        <v>0</v>
      </c>
      <c r="V61" s="90">
        <f>Construction!U9</f>
        <v>0</v>
      </c>
      <c r="W61" s="90">
        <f>Construction!V9</f>
        <v>0</v>
      </c>
      <c r="X61" s="69">
        <f>Construction!W9</f>
        <v>0</v>
      </c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</row>
    <row r="62" spans="1:233" s="4" customFormat="1" ht="14.1" customHeight="1">
      <c r="A62" s="93"/>
      <c r="B62" s="103"/>
      <c r="C62" s="38" t="s">
        <v>44</v>
      </c>
      <c r="D62" s="24" t="s">
        <v>8</v>
      </c>
      <c r="E62" s="55">
        <f t="shared" si="9"/>
        <v>0</v>
      </c>
      <c r="F62" s="46"/>
      <c r="G62" s="51">
        <f>Construction!F10</f>
        <v>0</v>
      </c>
      <c r="H62" s="52">
        <f>Construction!G10</f>
        <v>0</v>
      </c>
      <c r="I62" s="53">
        <f>Construction!H10</f>
        <v>0</v>
      </c>
      <c r="J62" s="53">
        <f>Construction!I10</f>
        <v>0</v>
      </c>
      <c r="K62" s="53">
        <f>Construction!J10</f>
        <v>0</v>
      </c>
      <c r="L62" s="53">
        <f>Construction!K10</f>
        <v>0</v>
      </c>
      <c r="M62" s="53">
        <f>Construction!L10</f>
        <v>0</v>
      </c>
      <c r="N62" s="53">
        <f>Construction!M10</f>
        <v>0</v>
      </c>
      <c r="O62" s="53">
        <f>Construction!N10</f>
        <v>0</v>
      </c>
      <c r="P62" s="53">
        <f>Construction!O10</f>
        <v>0</v>
      </c>
      <c r="Q62" s="53">
        <f>Construction!P10</f>
        <v>0</v>
      </c>
      <c r="R62" s="53">
        <f>Construction!Q10</f>
        <v>0</v>
      </c>
      <c r="S62" s="53">
        <f>Construction!R10</f>
        <v>0</v>
      </c>
      <c r="T62" s="53">
        <f>Construction!S10</f>
        <v>0</v>
      </c>
      <c r="U62" s="53">
        <f>Construction!T10</f>
        <v>0</v>
      </c>
      <c r="V62" s="53">
        <f>Construction!U10</f>
        <v>0</v>
      </c>
      <c r="W62" s="53">
        <f>Construction!V10</f>
        <v>0</v>
      </c>
      <c r="X62" s="54">
        <f>Construction!W10</f>
        <v>0</v>
      </c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</row>
    <row r="63" spans="1:233" s="4" customFormat="1" ht="14.1" customHeight="1">
      <c r="A63" s="93"/>
      <c r="B63" s="103"/>
      <c r="C63" s="38" t="s">
        <v>45</v>
      </c>
      <c r="D63" s="24" t="s">
        <v>29</v>
      </c>
      <c r="E63" s="55">
        <f t="shared" si="9"/>
        <v>0</v>
      </c>
      <c r="F63" s="46"/>
      <c r="G63" s="51">
        <f>Construction!F11</f>
        <v>0</v>
      </c>
      <c r="H63" s="52">
        <f>Construction!G11</f>
        <v>0</v>
      </c>
      <c r="I63" s="53">
        <f>Construction!H11</f>
        <v>0</v>
      </c>
      <c r="J63" s="53">
        <f>Construction!I11</f>
        <v>0</v>
      </c>
      <c r="K63" s="53">
        <f>Construction!J11</f>
        <v>0</v>
      </c>
      <c r="L63" s="53">
        <f>Construction!K11</f>
        <v>0</v>
      </c>
      <c r="M63" s="53">
        <f>Construction!L11</f>
        <v>0</v>
      </c>
      <c r="N63" s="53">
        <f>Construction!M11</f>
        <v>0</v>
      </c>
      <c r="O63" s="53">
        <f>Construction!N11</f>
        <v>0</v>
      </c>
      <c r="P63" s="53">
        <f>Construction!O11</f>
        <v>0</v>
      </c>
      <c r="Q63" s="53">
        <f>Construction!P11</f>
        <v>0</v>
      </c>
      <c r="R63" s="53">
        <f>Construction!Q11</f>
        <v>0</v>
      </c>
      <c r="S63" s="53">
        <f>Construction!R11</f>
        <v>0</v>
      </c>
      <c r="T63" s="53">
        <f>Construction!S11</f>
        <v>0</v>
      </c>
      <c r="U63" s="53">
        <f>Construction!T11</f>
        <v>0</v>
      </c>
      <c r="V63" s="53">
        <f>Construction!U11</f>
        <v>0</v>
      </c>
      <c r="W63" s="53">
        <f>Construction!V11</f>
        <v>0</v>
      </c>
      <c r="X63" s="54">
        <f>Construction!W11</f>
        <v>0</v>
      </c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</row>
    <row r="64" spans="1:233" s="4" customFormat="1" ht="14.1" customHeight="1">
      <c r="A64" s="93"/>
      <c r="B64" s="103"/>
      <c r="C64" s="38" t="s">
        <v>46</v>
      </c>
      <c r="D64" s="24" t="s">
        <v>30</v>
      </c>
      <c r="E64" s="55">
        <f t="shared" si="9"/>
        <v>0</v>
      </c>
      <c r="F64" s="46"/>
      <c r="G64" s="51">
        <f>Construction!F12</f>
        <v>0</v>
      </c>
      <c r="H64" s="52">
        <f>Construction!G12</f>
        <v>0</v>
      </c>
      <c r="I64" s="53">
        <f>Construction!H12</f>
        <v>0</v>
      </c>
      <c r="J64" s="53">
        <f>Construction!I12</f>
        <v>0</v>
      </c>
      <c r="K64" s="53">
        <f>Construction!J12</f>
        <v>0</v>
      </c>
      <c r="L64" s="53">
        <f>Construction!K12</f>
        <v>0</v>
      </c>
      <c r="M64" s="53">
        <f>Construction!L12</f>
        <v>0</v>
      </c>
      <c r="N64" s="53">
        <f>Construction!M12</f>
        <v>0</v>
      </c>
      <c r="O64" s="53">
        <f>Construction!N12</f>
        <v>0</v>
      </c>
      <c r="P64" s="53">
        <f>Construction!O12</f>
        <v>0</v>
      </c>
      <c r="Q64" s="53">
        <f>Construction!P12</f>
        <v>0</v>
      </c>
      <c r="R64" s="53">
        <f>Construction!Q12</f>
        <v>0</v>
      </c>
      <c r="S64" s="53">
        <f>Construction!R12</f>
        <v>0</v>
      </c>
      <c r="T64" s="53">
        <f>Construction!S12</f>
        <v>0</v>
      </c>
      <c r="U64" s="53">
        <f>Construction!T12</f>
        <v>0</v>
      </c>
      <c r="V64" s="53">
        <f>Construction!U12</f>
        <v>0</v>
      </c>
      <c r="W64" s="53">
        <f>Construction!V12</f>
        <v>0</v>
      </c>
      <c r="X64" s="54">
        <f>Construction!W12</f>
        <v>0</v>
      </c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</row>
    <row r="65" spans="1:233" s="4" customFormat="1" ht="14.1" customHeight="1">
      <c r="A65" s="93"/>
      <c r="B65" s="103"/>
      <c r="C65" s="38" t="s">
        <v>48</v>
      </c>
      <c r="D65" s="24" t="s">
        <v>31</v>
      </c>
      <c r="E65" s="55">
        <f t="shared" si="9"/>
        <v>0</v>
      </c>
      <c r="F65" s="46"/>
      <c r="G65" s="51">
        <f>Construction!F13</f>
        <v>0</v>
      </c>
      <c r="H65" s="52">
        <f>Construction!G13</f>
        <v>0</v>
      </c>
      <c r="I65" s="53">
        <f>Construction!H13</f>
        <v>0</v>
      </c>
      <c r="J65" s="53">
        <f>Construction!I13</f>
        <v>0</v>
      </c>
      <c r="K65" s="53">
        <f>Construction!J13</f>
        <v>0</v>
      </c>
      <c r="L65" s="53">
        <f>Construction!K13</f>
        <v>0</v>
      </c>
      <c r="M65" s="53">
        <f>Construction!L13</f>
        <v>0</v>
      </c>
      <c r="N65" s="53">
        <f>Construction!M13</f>
        <v>0</v>
      </c>
      <c r="O65" s="53">
        <f>Construction!N13</f>
        <v>0</v>
      </c>
      <c r="P65" s="53">
        <f>Construction!O13</f>
        <v>0</v>
      </c>
      <c r="Q65" s="53">
        <f>Construction!P13</f>
        <v>0</v>
      </c>
      <c r="R65" s="53">
        <f>Construction!Q13</f>
        <v>0</v>
      </c>
      <c r="S65" s="53">
        <f>Construction!R13</f>
        <v>0</v>
      </c>
      <c r="T65" s="53">
        <f>Construction!S13</f>
        <v>0</v>
      </c>
      <c r="U65" s="53">
        <f>Construction!T13</f>
        <v>0</v>
      </c>
      <c r="V65" s="53">
        <f>Construction!U13</f>
        <v>0</v>
      </c>
      <c r="W65" s="53">
        <f>Construction!V13</f>
        <v>0</v>
      </c>
      <c r="X65" s="54">
        <f>Construction!W13</f>
        <v>0</v>
      </c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</row>
    <row r="66" spans="1:233" s="4" customFormat="1" ht="14.1" customHeight="1">
      <c r="A66" s="93"/>
      <c r="B66" s="103"/>
      <c r="C66" s="38" t="s">
        <v>3</v>
      </c>
      <c r="D66" s="24" t="s">
        <v>32</v>
      </c>
      <c r="E66" s="55">
        <f t="shared" si="9"/>
        <v>0</v>
      </c>
      <c r="F66" s="46"/>
      <c r="G66" s="51">
        <f>Construction!F14</f>
        <v>0</v>
      </c>
      <c r="H66" s="52">
        <f>Construction!G14</f>
        <v>0</v>
      </c>
      <c r="I66" s="53">
        <f>Construction!H14</f>
        <v>0</v>
      </c>
      <c r="J66" s="53">
        <f>Construction!I14</f>
        <v>0</v>
      </c>
      <c r="K66" s="53">
        <f>Construction!J14</f>
        <v>0</v>
      </c>
      <c r="L66" s="53">
        <f>Construction!K14</f>
        <v>0</v>
      </c>
      <c r="M66" s="53">
        <f>Construction!L14</f>
        <v>0</v>
      </c>
      <c r="N66" s="53">
        <f>Construction!M14</f>
        <v>0</v>
      </c>
      <c r="O66" s="53">
        <f>Construction!N14</f>
        <v>0</v>
      </c>
      <c r="P66" s="53">
        <f>Construction!O14</f>
        <v>0</v>
      </c>
      <c r="Q66" s="53">
        <f>Construction!P14</f>
        <v>0</v>
      </c>
      <c r="R66" s="53">
        <f>Construction!Q14</f>
        <v>0</v>
      </c>
      <c r="S66" s="53">
        <f>Construction!R14</f>
        <v>0</v>
      </c>
      <c r="T66" s="53">
        <f>Construction!S14</f>
        <v>0</v>
      </c>
      <c r="U66" s="53">
        <f>Construction!T14</f>
        <v>0</v>
      </c>
      <c r="V66" s="53">
        <f>Construction!U14</f>
        <v>0</v>
      </c>
      <c r="W66" s="53">
        <f>Construction!V14</f>
        <v>0</v>
      </c>
      <c r="X66" s="54">
        <f>Construction!W14</f>
        <v>0</v>
      </c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</row>
    <row r="67" spans="1:233" s="4" customFormat="1" ht="14.1" customHeight="1">
      <c r="A67" s="93"/>
      <c r="B67" s="103"/>
      <c r="C67" s="38" t="s">
        <v>9</v>
      </c>
      <c r="D67" s="24" t="s">
        <v>42</v>
      </c>
      <c r="E67" s="56">
        <f t="shared" si="9"/>
        <v>0</v>
      </c>
      <c r="F67" s="46"/>
      <c r="G67" s="51">
        <f>Construction!F15</f>
        <v>0</v>
      </c>
      <c r="H67" s="52">
        <f>Construction!G15</f>
        <v>0</v>
      </c>
      <c r="I67" s="53">
        <f>Construction!H15</f>
        <v>0</v>
      </c>
      <c r="J67" s="53">
        <f>Construction!I15</f>
        <v>0</v>
      </c>
      <c r="K67" s="53">
        <f>Construction!J15</f>
        <v>0</v>
      </c>
      <c r="L67" s="53">
        <f>Construction!K15</f>
        <v>0</v>
      </c>
      <c r="M67" s="53">
        <f>Construction!L15</f>
        <v>0</v>
      </c>
      <c r="N67" s="53">
        <f>Construction!M15</f>
        <v>0</v>
      </c>
      <c r="O67" s="53">
        <f>Construction!N15</f>
        <v>0</v>
      </c>
      <c r="P67" s="53">
        <f>Construction!O15</f>
        <v>0</v>
      </c>
      <c r="Q67" s="53">
        <f>Construction!P15</f>
        <v>0</v>
      </c>
      <c r="R67" s="53">
        <f>Construction!Q15</f>
        <v>0</v>
      </c>
      <c r="S67" s="53">
        <f>Construction!R15</f>
        <v>0</v>
      </c>
      <c r="T67" s="53">
        <f>Construction!S15</f>
        <v>0</v>
      </c>
      <c r="U67" s="53">
        <f>Construction!T15</f>
        <v>0</v>
      </c>
      <c r="V67" s="53">
        <f>Construction!U15</f>
        <v>0</v>
      </c>
      <c r="W67" s="53">
        <f>Construction!V15</f>
        <v>0</v>
      </c>
      <c r="X67" s="54">
        <f>Construction!W15</f>
        <v>0</v>
      </c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</row>
    <row r="68" spans="1:233" s="4" customFormat="1" ht="14.1" customHeight="1">
      <c r="A68" s="93"/>
      <c r="B68" s="103"/>
      <c r="C68" s="38" t="s">
        <v>49</v>
      </c>
      <c r="D68" s="24" t="s">
        <v>43</v>
      </c>
      <c r="E68" s="56">
        <f t="shared" si="9"/>
        <v>0</v>
      </c>
      <c r="F68" s="46"/>
      <c r="G68" s="51">
        <f>Construction!F16</f>
        <v>0</v>
      </c>
      <c r="H68" s="52">
        <f>Construction!G16</f>
        <v>0</v>
      </c>
      <c r="I68" s="52">
        <f>Construction!H16</f>
        <v>0</v>
      </c>
      <c r="J68" s="52">
        <f>Construction!I16</f>
        <v>0</v>
      </c>
      <c r="K68" s="52">
        <f>Construction!J16</f>
        <v>0</v>
      </c>
      <c r="L68" s="52">
        <f>Construction!K16</f>
        <v>0</v>
      </c>
      <c r="M68" s="52">
        <f>Construction!L16</f>
        <v>0</v>
      </c>
      <c r="N68" s="52">
        <f>Construction!M16</f>
        <v>0</v>
      </c>
      <c r="O68" s="52">
        <f>Construction!N16</f>
        <v>0</v>
      </c>
      <c r="P68" s="52">
        <f>Construction!O16</f>
        <v>0</v>
      </c>
      <c r="Q68" s="52">
        <f>Construction!P16</f>
        <v>0</v>
      </c>
      <c r="R68" s="52">
        <f>Construction!Q16</f>
        <v>0</v>
      </c>
      <c r="S68" s="52">
        <f>Construction!R16</f>
        <v>0</v>
      </c>
      <c r="T68" s="52">
        <f>Construction!S16</f>
        <v>0</v>
      </c>
      <c r="U68" s="52">
        <f>Construction!T16</f>
        <v>0</v>
      </c>
      <c r="V68" s="52">
        <f>Construction!U16</f>
        <v>0</v>
      </c>
      <c r="W68" s="52">
        <f>Construction!V16</f>
        <v>0</v>
      </c>
      <c r="X68" s="54">
        <f>Construction!W16</f>
        <v>0</v>
      </c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</row>
    <row r="69" spans="1:233" s="4" customFormat="1" ht="14.1" customHeight="1" thickBot="1">
      <c r="A69" s="94"/>
      <c r="B69" s="104"/>
      <c r="C69" s="39" t="s">
        <v>50</v>
      </c>
      <c r="D69" s="25" t="s">
        <v>47</v>
      </c>
      <c r="E69" s="57">
        <f t="shared" si="9"/>
        <v>0</v>
      </c>
      <c r="F69" s="84"/>
      <c r="G69" s="58">
        <f>Construction!F17</f>
        <v>0</v>
      </c>
      <c r="H69" s="59">
        <f>Construction!G17</f>
        <v>0</v>
      </c>
      <c r="I69" s="60">
        <f>Construction!H17</f>
        <v>0</v>
      </c>
      <c r="J69" s="60">
        <f>Construction!I17</f>
        <v>0</v>
      </c>
      <c r="K69" s="60">
        <f>Construction!J17</f>
        <v>0</v>
      </c>
      <c r="L69" s="60">
        <f>Construction!K17</f>
        <v>0</v>
      </c>
      <c r="M69" s="60">
        <f>Construction!L17</f>
        <v>0</v>
      </c>
      <c r="N69" s="60">
        <f>Construction!M17</f>
        <v>0</v>
      </c>
      <c r="O69" s="60">
        <f>Construction!N17</f>
        <v>0</v>
      </c>
      <c r="P69" s="60">
        <f>Construction!O17</f>
        <v>0</v>
      </c>
      <c r="Q69" s="60">
        <f>Construction!P17</f>
        <v>0</v>
      </c>
      <c r="R69" s="60">
        <f>Construction!Q17</f>
        <v>0</v>
      </c>
      <c r="S69" s="60">
        <f>Construction!R17</f>
        <v>0</v>
      </c>
      <c r="T69" s="60">
        <f>Construction!S17</f>
        <v>0</v>
      </c>
      <c r="U69" s="60">
        <f>Construction!T17</f>
        <v>0</v>
      </c>
      <c r="V69" s="60">
        <f>Construction!U17</f>
        <v>0</v>
      </c>
      <c r="W69" s="60">
        <f>Construction!V17</f>
        <v>0</v>
      </c>
      <c r="X69" s="61">
        <f>Construction!W17</f>
        <v>0</v>
      </c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</row>
    <row r="70" spans="1:233" ht="4.5" customHeight="1"/>
    <row r="71" spans="1:233" s="32" customFormat="1">
      <c r="A71" s="32" t="s">
        <v>22</v>
      </c>
      <c r="E71" s="34"/>
      <c r="F71" s="34"/>
      <c r="S71"/>
      <c r="T71"/>
      <c r="U71"/>
      <c r="V71"/>
      <c r="W71"/>
      <c r="X71"/>
    </row>
    <row r="72" spans="1:233" s="32" customFormat="1" ht="11.25" customHeight="1">
      <c r="B72" s="32" t="str">
        <f>+IF(C72="","",1)</f>
        <v/>
      </c>
      <c r="E72" s="33"/>
      <c r="F72" s="33"/>
      <c r="G72" s="32" t="str">
        <f>+IF(H72="","",6)</f>
        <v/>
      </c>
      <c r="L72" s="32" t="str">
        <f>+IF(M72="","",11)</f>
        <v/>
      </c>
      <c r="M72" s="32" t="str">
        <f>+IF(N72="","",11)</f>
        <v/>
      </c>
      <c r="S72"/>
      <c r="T72"/>
      <c r="U72"/>
      <c r="V72"/>
      <c r="W72"/>
      <c r="X72"/>
    </row>
    <row r="73" spans="1:233" s="32" customFormat="1" ht="11.25" customHeight="1">
      <c r="B73" s="32" t="str">
        <f>+IF(C73="","",2)</f>
        <v/>
      </c>
      <c r="E73" s="34"/>
      <c r="F73" s="34"/>
      <c r="G73" s="32" t="str">
        <f>+IF(H73="","",7)</f>
        <v/>
      </c>
      <c r="L73" s="32" t="str">
        <f>+IF(M73="","",12)</f>
        <v/>
      </c>
      <c r="M73" s="32" t="str">
        <f>+IF(N73="","",12)</f>
        <v/>
      </c>
      <c r="S73"/>
      <c r="T73"/>
      <c r="U73"/>
      <c r="V73"/>
      <c r="W73"/>
      <c r="X73"/>
    </row>
    <row r="74" spans="1:233" s="32" customFormat="1" ht="11.25" customHeight="1">
      <c r="B74" s="32" t="str">
        <f>+IF(C74="","",3)</f>
        <v/>
      </c>
      <c r="E74" s="34"/>
      <c r="F74" s="34"/>
      <c r="G74" s="32" t="str">
        <f>+IF(H74="","",8)</f>
        <v/>
      </c>
      <c r="L74" s="32" t="str">
        <f>+IF(M74="","",13)</f>
        <v/>
      </c>
      <c r="M74" s="32" t="str">
        <f>+IF(N74="","",13)</f>
        <v/>
      </c>
      <c r="S74"/>
      <c r="T74"/>
      <c r="U74"/>
      <c r="V74"/>
      <c r="W74"/>
      <c r="X74"/>
    </row>
    <row r="75" spans="1:233" s="32" customFormat="1" ht="11.25" customHeight="1">
      <c r="B75" s="32" t="str">
        <f>+IF(C75="","",4)</f>
        <v/>
      </c>
      <c r="E75" s="34"/>
      <c r="F75" s="34"/>
      <c r="G75" s="32" t="str">
        <f>+IF(H75="","",9)</f>
        <v/>
      </c>
      <c r="L75" s="32" t="str">
        <f>+IF(M75="","",14)</f>
        <v/>
      </c>
      <c r="M75" s="32" t="str">
        <f>+IF(N75="","",14)</f>
        <v/>
      </c>
      <c r="S75"/>
      <c r="T75"/>
      <c r="U75"/>
      <c r="V75"/>
      <c r="W75"/>
      <c r="X75"/>
    </row>
    <row r="76" spans="1:233" s="32" customFormat="1" ht="11.25" customHeight="1">
      <c r="B76" s="32" t="str">
        <f>+IF(C76="","",5)</f>
        <v/>
      </c>
      <c r="E76" s="34"/>
      <c r="F76" s="34"/>
      <c r="G76" s="32" t="str">
        <f>+IF(H76="","",10)</f>
        <v/>
      </c>
      <c r="L76" s="32" t="str">
        <f>+IF(M76="","",15)</f>
        <v/>
      </c>
      <c r="M76" s="32" t="str">
        <f>+IF(N76="","",15)</f>
        <v/>
      </c>
      <c r="S76"/>
      <c r="T76"/>
      <c r="U76"/>
      <c r="V76"/>
      <c r="W76"/>
      <c r="X76"/>
    </row>
    <row r="77" spans="1:233" ht="11.25" customHeight="1"/>
    <row r="78" spans="1:233" ht="11.25" customHeight="1"/>
  </sheetData>
  <mergeCells count="17">
    <mergeCell ref="A19:A30"/>
    <mergeCell ref="A58:A69"/>
    <mergeCell ref="B58:B69"/>
    <mergeCell ref="A32:A43"/>
    <mergeCell ref="B32:B43"/>
    <mergeCell ref="A45:A56"/>
    <mergeCell ref="B45:B56"/>
    <mergeCell ref="B19:B30"/>
    <mergeCell ref="A6:A17"/>
    <mergeCell ref="V1:X1"/>
    <mergeCell ref="V2:X2"/>
    <mergeCell ref="V3:X3"/>
    <mergeCell ref="D1:R1"/>
    <mergeCell ref="D2:R2"/>
    <mergeCell ref="D3:R3"/>
    <mergeCell ref="A5:B5"/>
    <mergeCell ref="B6:B17"/>
  </mergeCells>
  <phoneticPr fontId="0" type="noConversion"/>
  <pageMargins left="0.17" right="0.16" top="0.4" bottom="0.3" header="0.18" footer="0.17"/>
  <pageSetup paperSize="9" scale="70" fitToHeight="26" orientation="landscape" r:id="rId1"/>
  <headerFooter alignWithMargins="0">
    <oddFooter>&amp;L&amp;7&amp;F,&amp;A&amp;C&amp;8&amp;P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X184"/>
  <sheetViews>
    <sheetView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35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25</v>
      </c>
      <c r="V1" s="95"/>
      <c r="W1" s="95"/>
    </row>
    <row r="2" spans="1:232" ht="21.75" customHeight="1">
      <c r="A2" s="17"/>
      <c r="B2" s="17"/>
      <c r="C2" s="17"/>
      <c r="D2" s="106" t="s">
        <v>10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/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/>
      <c r="V3" s="97"/>
      <c r="W3" s="97"/>
    </row>
    <row r="4" spans="1:232" s="2" customFormat="1" ht="18.75" thickBot="1">
      <c r="A4" s="17"/>
      <c r="B4" s="17"/>
      <c r="C4" s="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3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3" t="s">
        <v>0</v>
      </c>
      <c r="B6" s="103" t="s">
        <v>10</v>
      </c>
      <c r="C6" s="87" t="s">
        <v>38</v>
      </c>
      <c r="D6" s="23" t="s">
        <v>4</v>
      </c>
      <c r="E6" s="88">
        <f>SUM(F6:W6)</f>
        <v>0</v>
      </c>
      <c r="F6" s="62">
        <f>SUMIF($D$19:$D$300,$D6,F$19:F$300)</f>
        <v>0</v>
      </c>
      <c r="G6" s="62">
        <f t="shared" ref="G6:V17" si="0">SUMIF($D$19:$D$300,$D6,G$19:G$300)</f>
        <v>0</v>
      </c>
      <c r="H6" s="62">
        <f t="shared" si="0"/>
        <v>0</v>
      </c>
      <c r="I6" s="62">
        <f t="shared" si="0"/>
        <v>0</v>
      </c>
      <c r="J6" s="62">
        <f t="shared" si="0"/>
        <v>0</v>
      </c>
      <c r="K6" s="62">
        <f t="shared" si="0"/>
        <v>0</v>
      </c>
      <c r="L6" s="62">
        <f t="shared" si="0"/>
        <v>0</v>
      </c>
      <c r="M6" s="62">
        <f t="shared" si="0"/>
        <v>0</v>
      </c>
      <c r="N6" s="62">
        <f t="shared" si="0"/>
        <v>0</v>
      </c>
      <c r="O6" s="62">
        <f t="shared" si="0"/>
        <v>0</v>
      </c>
      <c r="P6" s="62">
        <f t="shared" si="0"/>
        <v>0</v>
      </c>
      <c r="Q6" s="62">
        <f t="shared" si="0"/>
        <v>0</v>
      </c>
      <c r="R6" s="62">
        <f t="shared" si="0"/>
        <v>0</v>
      </c>
      <c r="S6" s="62">
        <f t="shared" si="0"/>
        <v>0</v>
      </c>
      <c r="T6" s="62">
        <f t="shared" si="0"/>
        <v>0</v>
      </c>
      <c r="U6" s="62">
        <f t="shared" si="0"/>
        <v>0</v>
      </c>
      <c r="V6" s="62">
        <f t="shared" si="0"/>
        <v>0</v>
      </c>
      <c r="W6" s="62">
        <f t="shared" ref="W6:W17" si="1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89" t="s">
        <v>39</v>
      </c>
      <c r="D7" s="24" t="s">
        <v>5</v>
      </c>
      <c r="E7" s="56">
        <f t="shared" ref="E7:E17" si="2">SUM(F7:W7)</f>
        <v>0</v>
      </c>
      <c r="F7" s="62">
        <f t="shared" ref="F7:F17" si="3">SUMIF($D$19:$D$300,$D7,F$19:F$300)</f>
        <v>0</v>
      </c>
      <c r="G7" s="62">
        <f t="shared" si="0"/>
        <v>0</v>
      </c>
      <c r="H7" s="62">
        <f t="shared" si="0"/>
        <v>0</v>
      </c>
      <c r="I7" s="62">
        <f t="shared" si="0"/>
        <v>0</v>
      </c>
      <c r="J7" s="62">
        <f t="shared" si="0"/>
        <v>0</v>
      </c>
      <c r="K7" s="62">
        <f t="shared" si="0"/>
        <v>0</v>
      </c>
      <c r="L7" s="62">
        <f t="shared" si="0"/>
        <v>0</v>
      </c>
      <c r="M7" s="62">
        <f t="shared" si="0"/>
        <v>0</v>
      </c>
      <c r="N7" s="62">
        <f t="shared" si="0"/>
        <v>0</v>
      </c>
      <c r="O7" s="62">
        <f t="shared" si="0"/>
        <v>0</v>
      </c>
      <c r="P7" s="62">
        <f t="shared" si="0"/>
        <v>0</v>
      </c>
      <c r="Q7" s="62">
        <f t="shared" si="0"/>
        <v>0</v>
      </c>
      <c r="R7" s="62">
        <f t="shared" si="0"/>
        <v>0</v>
      </c>
      <c r="S7" s="62">
        <f t="shared" si="0"/>
        <v>0</v>
      </c>
      <c r="T7" s="62">
        <f t="shared" si="0"/>
        <v>0</v>
      </c>
      <c r="U7" s="62">
        <f t="shared" si="0"/>
        <v>0</v>
      </c>
      <c r="V7" s="62">
        <f t="shared" si="0"/>
        <v>0</v>
      </c>
      <c r="W7" s="62">
        <f t="shared" si="1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89" t="s">
        <v>40</v>
      </c>
      <c r="D8" s="24" t="s">
        <v>6</v>
      </c>
      <c r="E8" s="56">
        <f t="shared" si="2"/>
        <v>0</v>
      </c>
      <c r="F8" s="62">
        <f t="shared" si="3"/>
        <v>0</v>
      </c>
      <c r="G8" s="62">
        <f t="shared" si="0"/>
        <v>0</v>
      </c>
      <c r="H8" s="62">
        <f t="shared" si="0"/>
        <v>0</v>
      </c>
      <c r="I8" s="62">
        <f t="shared" si="0"/>
        <v>0</v>
      </c>
      <c r="J8" s="62">
        <f t="shared" si="0"/>
        <v>0</v>
      </c>
      <c r="K8" s="62">
        <f t="shared" si="0"/>
        <v>0</v>
      </c>
      <c r="L8" s="62">
        <f t="shared" si="0"/>
        <v>0</v>
      </c>
      <c r="M8" s="62">
        <f t="shared" si="0"/>
        <v>0</v>
      </c>
      <c r="N8" s="62">
        <f t="shared" si="0"/>
        <v>0</v>
      </c>
      <c r="O8" s="62">
        <f t="shared" si="0"/>
        <v>0</v>
      </c>
      <c r="P8" s="62">
        <f t="shared" si="0"/>
        <v>0</v>
      </c>
      <c r="Q8" s="62">
        <f t="shared" si="0"/>
        <v>0</v>
      </c>
      <c r="R8" s="62">
        <f t="shared" si="0"/>
        <v>0</v>
      </c>
      <c r="S8" s="62">
        <f t="shared" si="0"/>
        <v>0</v>
      </c>
      <c r="T8" s="62">
        <f t="shared" si="0"/>
        <v>0</v>
      </c>
      <c r="U8" s="62">
        <f t="shared" si="0"/>
        <v>0</v>
      </c>
      <c r="V8" s="62">
        <f t="shared" si="0"/>
        <v>0</v>
      </c>
      <c r="W8" s="62">
        <f t="shared" si="1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2"/>
        <v>0</v>
      </c>
      <c r="F9" s="62">
        <f t="shared" si="3"/>
        <v>0</v>
      </c>
      <c r="G9" s="62">
        <f t="shared" si="0"/>
        <v>0</v>
      </c>
      <c r="H9" s="62">
        <f t="shared" si="0"/>
        <v>0</v>
      </c>
      <c r="I9" s="62">
        <f t="shared" si="0"/>
        <v>0</v>
      </c>
      <c r="J9" s="62">
        <f t="shared" si="0"/>
        <v>0</v>
      </c>
      <c r="K9" s="62">
        <f t="shared" si="0"/>
        <v>0</v>
      </c>
      <c r="L9" s="62">
        <f t="shared" si="0"/>
        <v>0</v>
      </c>
      <c r="M9" s="62">
        <f t="shared" si="0"/>
        <v>0</v>
      </c>
      <c r="N9" s="62">
        <f t="shared" si="0"/>
        <v>0</v>
      </c>
      <c r="O9" s="62">
        <f t="shared" si="0"/>
        <v>0</v>
      </c>
      <c r="P9" s="62">
        <f t="shared" si="0"/>
        <v>0</v>
      </c>
      <c r="Q9" s="62">
        <f t="shared" si="0"/>
        <v>0</v>
      </c>
      <c r="R9" s="62">
        <f t="shared" si="0"/>
        <v>0</v>
      </c>
      <c r="S9" s="62">
        <f t="shared" si="0"/>
        <v>0</v>
      </c>
      <c r="T9" s="62">
        <f t="shared" si="0"/>
        <v>0</v>
      </c>
      <c r="U9" s="62">
        <f t="shared" si="0"/>
        <v>0</v>
      </c>
      <c r="V9" s="62">
        <f t="shared" si="0"/>
        <v>0</v>
      </c>
      <c r="W9" s="62">
        <f t="shared" si="1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2"/>
        <v>0</v>
      </c>
      <c r="F10" s="62">
        <f t="shared" si="3"/>
        <v>0</v>
      </c>
      <c r="G10" s="62">
        <f t="shared" si="0"/>
        <v>0</v>
      </c>
      <c r="H10" s="62">
        <f t="shared" si="0"/>
        <v>0</v>
      </c>
      <c r="I10" s="62">
        <f t="shared" si="0"/>
        <v>0</v>
      </c>
      <c r="J10" s="62">
        <f t="shared" si="0"/>
        <v>0</v>
      </c>
      <c r="K10" s="62">
        <f t="shared" si="0"/>
        <v>0</v>
      </c>
      <c r="L10" s="62">
        <f t="shared" si="0"/>
        <v>0</v>
      </c>
      <c r="M10" s="62">
        <f t="shared" si="0"/>
        <v>0</v>
      </c>
      <c r="N10" s="62">
        <f t="shared" si="0"/>
        <v>0</v>
      </c>
      <c r="O10" s="62">
        <f t="shared" si="0"/>
        <v>0</v>
      </c>
      <c r="P10" s="62">
        <f t="shared" si="0"/>
        <v>0</v>
      </c>
      <c r="Q10" s="62">
        <f t="shared" si="0"/>
        <v>0</v>
      </c>
      <c r="R10" s="62">
        <f t="shared" si="0"/>
        <v>0</v>
      </c>
      <c r="S10" s="62">
        <f t="shared" si="0"/>
        <v>0</v>
      </c>
      <c r="T10" s="62">
        <f t="shared" si="0"/>
        <v>0</v>
      </c>
      <c r="U10" s="62">
        <f t="shared" si="0"/>
        <v>0</v>
      </c>
      <c r="V10" s="62">
        <f t="shared" si="0"/>
        <v>0</v>
      </c>
      <c r="W10" s="62">
        <f t="shared" si="1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2"/>
        <v>0</v>
      </c>
      <c r="F11" s="62">
        <f t="shared" si="3"/>
        <v>0</v>
      </c>
      <c r="G11" s="62">
        <f t="shared" si="0"/>
        <v>0</v>
      </c>
      <c r="H11" s="62">
        <f t="shared" si="0"/>
        <v>0</v>
      </c>
      <c r="I11" s="62">
        <f t="shared" si="0"/>
        <v>0</v>
      </c>
      <c r="J11" s="62">
        <f t="shared" si="0"/>
        <v>0</v>
      </c>
      <c r="K11" s="62">
        <f t="shared" si="0"/>
        <v>0</v>
      </c>
      <c r="L11" s="62">
        <f t="shared" si="0"/>
        <v>0</v>
      </c>
      <c r="M11" s="62">
        <f t="shared" si="0"/>
        <v>0</v>
      </c>
      <c r="N11" s="62">
        <f t="shared" si="0"/>
        <v>0</v>
      </c>
      <c r="O11" s="62">
        <f t="shared" si="0"/>
        <v>0</v>
      </c>
      <c r="P11" s="62">
        <f t="shared" si="0"/>
        <v>0</v>
      </c>
      <c r="Q11" s="62">
        <f t="shared" si="0"/>
        <v>0</v>
      </c>
      <c r="R11" s="62">
        <f t="shared" si="0"/>
        <v>0</v>
      </c>
      <c r="S11" s="62">
        <f t="shared" si="0"/>
        <v>0</v>
      </c>
      <c r="T11" s="62">
        <f t="shared" si="0"/>
        <v>0</v>
      </c>
      <c r="U11" s="62">
        <f t="shared" si="0"/>
        <v>0</v>
      </c>
      <c r="V11" s="62">
        <f t="shared" si="0"/>
        <v>0</v>
      </c>
      <c r="W11" s="62">
        <f t="shared" si="1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2"/>
        <v>0</v>
      </c>
      <c r="F12" s="62">
        <f t="shared" si="3"/>
        <v>0</v>
      </c>
      <c r="G12" s="62">
        <f t="shared" si="0"/>
        <v>0</v>
      </c>
      <c r="H12" s="62">
        <f t="shared" si="0"/>
        <v>0</v>
      </c>
      <c r="I12" s="62">
        <f t="shared" si="0"/>
        <v>0</v>
      </c>
      <c r="J12" s="62">
        <f t="shared" si="0"/>
        <v>0</v>
      </c>
      <c r="K12" s="62">
        <f t="shared" si="0"/>
        <v>0</v>
      </c>
      <c r="L12" s="62">
        <f t="shared" si="0"/>
        <v>0</v>
      </c>
      <c r="M12" s="62">
        <f t="shared" si="0"/>
        <v>0</v>
      </c>
      <c r="N12" s="62">
        <f t="shared" si="0"/>
        <v>0</v>
      </c>
      <c r="O12" s="62">
        <f t="shared" si="0"/>
        <v>0</v>
      </c>
      <c r="P12" s="62">
        <f t="shared" si="0"/>
        <v>0</v>
      </c>
      <c r="Q12" s="62">
        <f t="shared" si="0"/>
        <v>0</v>
      </c>
      <c r="R12" s="62">
        <f t="shared" si="0"/>
        <v>0</v>
      </c>
      <c r="S12" s="62">
        <f t="shared" si="0"/>
        <v>0</v>
      </c>
      <c r="T12" s="62">
        <f t="shared" si="0"/>
        <v>0</v>
      </c>
      <c r="U12" s="62">
        <f t="shared" si="0"/>
        <v>0</v>
      </c>
      <c r="V12" s="62">
        <f t="shared" si="0"/>
        <v>0</v>
      </c>
      <c r="W12" s="62">
        <f t="shared" si="1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2"/>
        <v>0</v>
      </c>
      <c r="F13" s="62">
        <f t="shared" si="3"/>
        <v>0</v>
      </c>
      <c r="G13" s="62">
        <f t="shared" si="0"/>
        <v>0</v>
      </c>
      <c r="H13" s="62">
        <f t="shared" si="0"/>
        <v>0</v>
      </c>
      <c r="I13" s="62">
        <f t="shared" si="0"/>
        <v>0</v>
      </c>
      <c r="J13" s="62">
        <f t="shared" si="0"/>
        <v>0</v>
      </c>
      <c r="K13" s="62">
        <f t="shared" si="0"/>
        <v>0</v>
      </c>
      <c r="L13" s="62">
        <f t="shared" si="0"/>
        <v>0</v>
      </c>
      <c r="M13" s="62">
        <f t="shared" si="0"/>
        <v>0</v>
      </c>
      <c r="N13" s="62">
        <f t="shared" si="0"/>
        <v>0</v>
      </c>
      <c r="O13" s="62">
        <f t="shared" si="0"/>
        <v>0</v>
      </c>
      <c r="P13" s="62">
        <f t="shared" si="0"/>
        <v>0</v>
      </c>
      <c r="Q13" s="62">
        <f t="shared" si="0"/>
        <v>0</v>
      </c>
      <c r="R13" s="62">
        <f t="shared" si="0"/>
        <v>0</v>
      </c>
      <c r="S13" s="62">
        <f t="shared" si="0"/>
        <v>0</v>
      </c>
      <c r="T13" s="62">
        <f t="shared" si="0"/>
        <v>0</v>
      </c>
      <c r="U13" s="62">
        <f t="shared" si="0"/>
        <v>0</v>
      </c>
      <c r="V13" s="62">
        <f t="shared" si="0"/>
        <v>0</v>
      </c>
      <c r="W13" s="62">
        <f t="shared" si="1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2"/>
        <v>0</v>
      </c>
      <c r="F14" s="62">
        <f t="shared" si="3"/>
        <v>0</v>
      </c>
      <c r="G14" s="62">
        <f t="shared" si="0"/>
        <v>0</v>
      </c>
      <c r="H14" s="62">
        <f t="shared" si="0"/>
        <v>0</v>
      </c>
      <c r="I14" s="62">
        <f t="shared" si="0"/>
        <v>0</v>
      </c>
      <c r="J14" s="62">
        <f t="shared" si="0"/>
        <v>0</v>
      </c>
      <c r="K14" s="62">
        <f t="shared" si="0"/>
        <v>0</v>
      </c>
      <c r="L14" s="62">
        <f t="shared" si="0"/>
        <v>0</v>
      </c>
      <c r="M14" s="62">
        <f t="shared" si="0"/>
        <v>0</v>
      </c>
      <c r="N14" s="62">
        <f t="shared" si="0"/>
        <v>0</v>
      </c>
      <c r="O14" s="62">
        <f t="shared" si="0"/>
        <v>0</v>
      </c>
      <c r="P14" s="62">
        <f t="shared" si="0"/>
        <v>0</v>
      </c>
      <c r="Q14" s="62">
        <f t="shared" si="0"/>
        <v>0</v>
      </c>
      <c r="R14" s="62">
        <f t="shared" si="0"/>
        <v>0</v>
      </c>
      <c r="S14" s="62">
        <f t="shared" si="0"/>
        <v>0</v>
      </c>
      <c r="T14" s="62">
        <f t="shared" si="0"/>
        <v>0</v>
      </c>
      <c r="U14" s="62">
        <f t="shared" si="0"/>
        <v>0</v>
      </c>
      <c r="V14" s="62">
        <f t="shared" si="0"/>
        <v>0</v>
      </c>
      <c r="W14" s="62">
        <f t="shared" si="1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2"/>
        <v>0</v>
      </c>
      <c r="F15" s="62">
        <f t="shared" si="3"/>
        <v>0</v>
      </c>
      <c r="G15" s="62">
        <f t="shared" si="0"/>
        <v>0</v>
      </c>
      <c r="H15" s="62">
        <f t="shared" si="0"/>
        <v>0</v>
      </c>
      <c r="I15" s="62">
        <f t="shared" si="0"/>
        <v>0</v>
      </c>
      <c r="J15" s="62">
        <f t="shared" si="0"/>
        <v>0</v>
      </c>
      <c r="K15" s="62">
        <f t="shared" si="0"/>
        <v>0</v>
      </c>
      <c r="L15" s="62">
        <f t="shared" si="0"/>
        <v>0</v>
      </c>
      <c r="M15" s="62">
        <f t="shared" si="0"/>
        <v>0</v>
      </c>
      <c r="N15" s="62">
        <f t="shared" si="0"/>
        <v>0</v>
      </c>
      <c r="O15" s="62">
        <f t="shared" si="0"/>
        <v>0</v>
      </c>
      <c r="P15" s="62">
        <f t="shared" si="0"/>
        <v>0</v>
      </c>
      <c r="Q15" s="62">
        <f t="shared" si="0"/>
        <v>0</v>
      </c>
      <c r="R15" s="62">
        <f t="shared" si="0"/>
        <v>0</v>
      </c>
      <c r="S15" s="62">
        <f t="shared" si="0"/>
        <v>0</v>
      </c>
      <c r="T15" s="62">
        <f t="shared" si="0"/>
        <v>0</v>
      </c>
      <c r="U15" s="62">
        <f t="shared" si="0"/>
        <v>0</v>
      </c>
      <c r="V15" s="62">
        <f t="shared" si="0"/>
        <v>0</v>
      </c>
      <c r="W15" s="62">
        <f t="shared" si="1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2"/>
        <v>0</v>
      </c>
      <c r="F16" s="62">
        <f t="shared" si="3"/>
        <v>0</v>
      </c>
      <c r="G16" s="62">
        <f t="shared" si="0"/>
        <v>0</v>
      </c>
      <c r="H16" s="62">
        <f t="shared" si="0"/>
        <v>0</v>
      </c>
      <c r="I16" s="62">
        <f t="shared" si="0"/>
        <v>0</v>
      </c>
      <c r="J16" s="62">
        <f t="shared" si="0"/>
        <v>0</v>
      </c>
      <c r="K16" s="62">
        <f t="shared" si="0"/>
        <v>0</v>
      </c>
      <c r="L16" s="62">
        <f t="shared" si="0"/>
        <v>0</v>
      </c>
      <c r="M16" s="62">
        <f t="shared" si="0"/>
        <v>0</v>
      </c>
      <c r="N16" s="62">
        <f t="shared" si="0"/>
        <v>0</v>
      </c>
      <c r="O16" s="62">
        <f t="shared" si="0"/>
        <v>0</v>
      </c>
      <c r="P16" s="62">
        <f t="shared" si="0"/>
        <v>0</v>
      </c>
      <c r="Q16" s="62">
        <f t="shared" si="0"/>
        <v>0</v>
      </c>
      <c r="R16" s="62">
        <f t="shared" si="0"/>
        <v>0</v>
      </c>
      <c r="S16" s="62">
        <f t="shared" si="0"/>
        <v>0</v>
      </c>
      <c r="T16" s="62">
        <f t="shared" si="0"/>
        <v>0</v>
      </c>
      <c r="U16" s="62">
        <f t="shared" si="0"/>
        <v>0</v>
      </c>
      <c r="V16" s="62">
        <f t="shared" si="0"/>
        <v>0</v>
      </c>
      <c r="W16" s="62">
        <f t="shared" si="1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2"/>
        <v>0</v>
      </c>
      <c r="F17" s="62">
        <f t="shared" si="3"/>
        <v>0</v>
      </c>
      <c r="G17" s="62">
        <f t="shared" si="0"/>
        <v>0</v>
      </c>
      <c r="H17" s="62">
        <f t="shared" si="0"/>
        <v>0</v>
      </c>
      <c r="I17" s="62">
        <f t="shared" si="0"/>
        <v>0</v>
      </c>
      <c r="J17" s="62">
        <f t="shared" si="0"/>
        <v>0</v>
      </c>
      <c r="K17" s="62">
        <f t="shared" si="0"/>
        <v>0</v>
      </c>
      <c r="L17" s="62">
        <f t="shared" si="0"/>
        <v>0</v>
      </c>
      <c r="M17" s="62">
        <f t="shared" si="0"/>
        <v>0</v>
      </c>
      <c r="N17" s="62">
        <f t="shared" si="0"/>
        <v>0</v>
      </c>
      <c r="O17" s="62">
        <f t="shared" si="0"/>
        <v>0</v>
      </c>
      <c r="P17" s="62">
        <f t="shared" si="0"/>
        <v>0</v>
      </c>
      <c r="Q17" s="62">
        <f t="shared" si="0"/>
        <v>0</v>
      </c>
      <c r="R17" s="62">
        <f t="shared" si="0"/>
        <v>0</v>
      </c>
      <c r="S17" s="62">
        <f t="shared" si="0"/>
        <v>0</v>
      </c>
      <c r="T17" s="62">
        <f t="shared" si="0"/>
        <v>0</v>
      </c>
      <c r="U17" s="62">
        <f t="shared" si="0"/>
        <v>0</v>
      </c>
      <c r="V17" s="62">
        <f t="shared" si="0"/>
        <v>0</v>
      </c>
      <c r="W17" s="62">
        <f t="shared" si="1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21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ref="E19:E30" si="4">SUM(F19:W19)</f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4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4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4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4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4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4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4"/>
        <v>0</v>
      </c>
      <c r="F26" s="51">
        <f>SUM(F19:F25)</f>
        <v>0</v>
      </c>
      <c r="G26" s="52">
        <f t="shared" ref="G26:W26" si="5">SUM(G19:G25)</f>
        <v>0</v>
      </c>
      <c r="H26" s="53">
        <f t="shared" si="5"/>
        <v>0</v>
      </c>
      <c r="I26" s="53">
        <f t="shared" si="5"/>
        <v>0</v>
      </c>
      <c r="J26" s="53">
        <f t="shared" si="5"/>
        <v>0</v>
      </c>
      <c r="K26" s="53">
        <f t="shared" si="5"/>
        <v>0</v>
      </c>
      <c r="L26" s="53">
        <f t="shared" si="5"/>
        <v>0</v>
      </c>
      <c r="M26" s="53">
        <f t="shared" si="5"/>
        <v>0</v>
      </c>
      <c r="N26" s="53">
        <f t="shared" si="5"/>
        <v>0</v>
      </c>
      <c r="O26" s="53">
        <f t="shared" si="5"/>
        <v>0</v>
      </c>
      <c r="P26" s="53">
        <f t="shared" si="5"/>
        <v>0</v>
      </c>
      <c r="Q26" s="53">
        <f t="shared" si="5"/>
        <v>0</v>
      </c>
      <c r="R26" s="53">
        <f t="shared" si="5"/>
        <v>0</v>
      </c>
      <c r="S26" s="53">
        <f t="shared" si="5"/>
        <v>0</v>
      </c>
      <c r="T26" s="53">
        <f t="shared" si="5"/>
        <v>0</v>
      </c>
      <c r="U26" s="53">
        <f t="shared" si="5"/>
        <v>0</v>
      </c>
      <c r="V26" s="53">
        <f t="shared" si="5"/>
        <v>0</v>
      </c>
      <c r="W26" s="54">
        <f t="shared" si="5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4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4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4"/>
        <v>0</v>
      </c>
      <c r="F29" s="51">
        <f>F27+F28</f>
        <v>0</v>
      </c>
      <c r="G29" s="52">
        <f t="shared" ref="G29:W29" si="6">G27+G28</f>
        <v>0</v>
      </c>
      <c r="H29" s="53">
        <f t="shared" si="6"/>
        <v>0</v>
      </c>
      <c r="I29" s="53">
        <f t="shared" si="6"/>
        <v>0</v>
      </c>
      <c r="J29" s="53">
        <f t="shared" si="6"/>
        <v>0</v>
      </c>
      <c r="K29" s="53">
        <f t="shared" si="6"/>
        <v>0</v>
      </c>
      <c r="L29" s="53">
        <f t="shared" si="6"/>
        <v>0</v>
      </c>
      <c r="M29" s="53">
        <f t="shared" si="6"/>
        <v>0</v>
      </c>
      <c r="N29" s="53">
        <f t="shared" si="6"/>
        <v>0</v>
      </c>
      <c r="O29" s="53">
        <f t="shared" si="6"/>
        <v>0</v>
      </c>
      <c r="P29" s="53">
        <f t="shared" si="6"/>
        <v>0</v>
      </c>
      <c r="Q29" s="53">
        <f t="shared" si="6"/>
        <v>0</v>
      </c>
      <c r="R29" s="53">
        <f t="shared" si="6"/>
        <v>0</v>
      </c>
      <c r="S29" s="53">
        <f t="shared" si="6"/>
        <v>0</v>
      </c>
      <c r="T29" s="53">
        <f t="shared" si="6"/>
        <v>0</v>
      </c>
      <c r="U29" s="53">
        <f t="shared" si="6"/>
        <v>0</v>
      </c>
      <c r="V29" s="53">
        <f t="shared" si="6"/>
        <v>0</v>
      </c>
      <c r="W29" s="54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4"/>
        <v>0</v>
      </c>
      <c r="F30" s="58">
        <f>F26-F29</f>
        <v>0</v>
      </c>
      <c r="G30" s="59">
        <f t="shared" ref="G30:W30" si="7">G26-G29</f>
        <v>0</v>
      </c>
      <c r="H30" s="60">
        <f t="shared" si="7"/>
        <v>0</v>
      </c>
      <c r="I30" s="60">
        <f t="shared" si="7"/>
        <v>0</v>
      </c>
      <c r="J30" s="60">
        <f t="shared" si="7"/>
        <v>0</v>
      </c>
      <c r="K30" s="60">
        <f t="shared" si="7"/>
        <v>0</v>
      </c>
      <c r="L30" s="60">
        <f t="shared" si="7"/>
        <v>0</v>
      </c>
      <c r="M30" s="60">
        <f t="shared" si="7"/>
        <v>0</v>
      </c>
      <c r="N30" s="60">
        <f t="shared" si="7"/>
        <v>0</v>
      </c>
      <c r="O30" s="60">
        <f t="shared" si="7"/>
        <v>0</v>
      </c>
      <c r="P30" s="60">
        <f t="shared" si="7"/>
        <v>0</v>
      </c>
      <c r="Q30" s="60">
        <f t="shared" si="7"/>
        <v>0</v>
      </c>
      <c r="R30" s="60">
        <f t="shared" si="7"/>
        <v>0</v>
      </c>
      <c r="S30" s="60">
        <f t="shared" si="7"/>
        <v>0</v>
      </c>
      <c r="T30" s="60">
        <f t="shared" si="7"/>
        <v>0</v>
      </c>
      <c r="U30" s="60">
        <f t="shared" si="7"/>
        <v>0</v>
      </c>
      <c r="V30" s="60">
        <f t="shared" si="7"/>
        <v>0</v>
      </c>
      <c r="W30" s="61">
        <f t="shared" si="7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ref="E31:E42" si="8">SUM(F31:W31)</f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8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8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8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8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8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8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8"/>
        <v>0</v>
      </c>
      <c r="F38" s="51">
        <f>SUM(F31:F37)</f>
        <v>0</v>
      </c>
      <c r="G38" s="52">
        <f t="shared" ref="G38:W38" si="9">SUM(G31:G37)</f>
        <v>0</v>
      </c>
      <c r="H38" s="53">
        <f t="shared" si="9"/>
        <v>0</v>
      </c>
      <c r="I38" s="53">
        <f t="shared" si="9"/>
        <v>0</v>
      </c>
      <c r="J38" s="53">
        <f t="shared" si="9"/>
        <v>0</v>
      </c>
      <c r="K38" s="53">
        <f t="shared" si="9"/>
        <v>0</v>
      </c>
      <c r="L38" s="53">
        <f t="shared" si="9"/>
        <v>0</v>
      </c>
      <c r="M38" s="53">
        <f t="shared" si="9"/>
        <v>0</v>
      </c>
      <c r="N38" s="53">
        <f t="shared" si="9"/>
        <v>0</v>
      </c>
      <c r="O38" s="53">
        <f t="shared" si="9"/>
        <v>0</v>
      </c>
      <c r="P38" s="53">
        <f t="shared" si="9"/>
        <v>0</v>
      </c>
      <c r="Q38" s="53">
        <f t="shared" si="9"/>
        <v>0</v>
      </c>
      <c r="R38" s="53">
        <f t="shared" si="9"/>
        <v>0</v>
      </c>
      <c r="S38" s="53">
        <f t="shared" si="9"/>
        <v>0</v>
      </c>
      <c r="T38" s="53">
        <f t="shared" si="9"/>
        <v>0</v>
      </c>
      <c r="U38" s="53">
        <f t="shared" si="9"/>
        <v>0</v>
      </c>
      <c r="V38" s="53">
        <f t="shared" si="9"/>
        <v>0</v>
      </c>
      <c r="W38" s="54">
        <f t="shared" si="9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8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8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8"/>
        <v>0</v>
      </c>
      <c r="F41" s="51">
        <f>F39+F40</f>
        <v>0</v>
      </c>
      <c r="G41" s="52">
        <f t="shared" ref="G41:W41" si="10">G39+G40</f>
        <v>0</v>
      </c>
      <c r="H41" s="53">
        <f t="shared" si="10"/>
        <v>0</v>
      </c>
      <c r="I41" s="53">
        <f t="shared" si="10"/>
        <v>0</v>
      </c>
      <c r="J41" s="53">
        <f t="shared" si="10"/>
        <v>0</v>
      </c>
      <c r="K41" s="53">
        <f t="shared" si="10"/>
        <v>0</v>
      </c>
      <c r="L41" s="53">
        <f t="shared" si="10"/>
        <v>0</v>
      </c>
      <c r="M41" s="53">
        <f t="shared" si="10"/>
        <v>0</v>
      </c>
      <c r="N41" s="53">
        <f t="shared" si="10"/>
        <v>0</v>
      </c>
      <c r="O41" s="53">
        <f t="shared" si="10"/>
        <v>0</v>
      </c>
      <c r="P41" s="53">
        <f t="shared" si="10"/>
        <v>0</v>
      </c>
      <c r="Q41" s="53">
        <f t="shared" si="10"/>
        <v>0</v>
      </c>
      <c r="R41" s="53">
        <f t="shared" si="10"/>
        <v>0</v>
      </c>
      <c r="S41" s="53">
        <f t="shared" si="10"/>
        <v>0</v>
      </c>
      <c r="T41" s="53">
        <f t="shared" si="10"/>
        <v>0</v>
      </c>
      <c r="U41" s="53">
        <f t="shared" si="10"/>
        <v>0</v>
      </c>
      <c r="V41" s="53">
        <f t="shared" si="10"/>
        <v>0</v>
      </c>
      <c r="W41" s="54">
        <f t="shared" si="10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8"/>
        <v>0</v>
      </c>
      <c r="F42" s="58">
        <f>F38-F41</f>
        <v>0</v>
      </c>
      <c r="G42" s="59">
        <f t="shared" ref="G42:W42" si="11">G38-G41</f>
        <v>0</v>
      </c>
      <c r="H42" s="60">
        <f t="shared" si="11"/>
        <v>0</v>
      </c>
      <c r="I42" s="60">
        <f t="shared" si="11"/>
        <v>0</v>
      </c>
      <c r="J42" s="60">
        <f t="shared" si="11"/>
        <v>0</v>
      </c>
      <c r="K42" s="60">
        <f t="shared" si="11"/>
        <v>0</v>
      </c>
      <c r="L42" s="60">
        <f t="shared" si="11"/>
        <v>0</v>
      </c>
      <c r="M42" s="60">
        <f t="shared" si="11"/>
        <v>0</v>
      </c>
      <c r="N42" s="60">
        <f t="shared" si="11"/>
        <v>0</v>
      </c>
      <c r="O42" s="60">
        <f t="shared" si="11"/>
        <v>0</v>
      </c>
      <c r="P42" s="60">
        <f t="shared" si="11"/>
        <v>0</v>
      </c>
      <c r="Q42" s="60">
        <f t="shared" si="11"/>
        <v>0</v>
      </c>
      <c r="R42" s="60">
        <f t="shared" si="11"/>
        <v>0</v>
      </c>
      <c r="S42" s="60">
        <f t="shared" si="11"/>
        <v>0</v>
      </c>
      <c r="T42" s="60">
        <f t="shared" si="11"/>
        <v>0</v>
      </c>
      <c r="U42" s="60">
        <f t="shared" si="11"/>
        <v>0</v>
      </c>
      <c r="V42" s="60">
        <f t="shared" si="11"/>
        <v>0</v>
      </c>
      <c r="W42" s="61">
        <f t="shared" si="11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s="44" customFormat="1" ht="14.1" customHeight="1">
      <c r="E43" s="45"/>
    </row>
    <row r="44" spans="1:232" s="44" customFormat="1" ht="14.1" customHeight="1">
      <c r="E44" s="45"/>
    </row>
    <row r="45" spans="1:232" s="44" customFormat="1" ht="14.1" customHeight="1">
      <c r="E45" s="45"/>
    </row>
    <row r="46" spans="1:232" s="44" customFormat="1" ht="14.1" customHeight="1">
      <c r="E46" s="45"/>
    </row>
    <row r="47" spans="1:232" s="44" customFormat="1" ht="14.1" customHeight="1">
      <c r="E47" s="45"/>
    </row>
    <row r="48" spans="1:232" s="44" customFormat="1" ht="14.1" customHeight="1">
      <c r="E48" s="45"/>
    </row>
    <row r="49" spans="5:5" s="44" customFormat="1" ht="14.1" customHeight="1">
      <c r="E49" s="45"/>
    </row>
    <row r="50" spans="5:5" s="44" customFormat="1" ht="14.1" customHeight="1">
      <c r="E50" s="45"/>
    </row>
    <row r="51" spans="5:5" s="44" customFormat="1" ht="14.1" customHeight="1">
      <c r="E51" s="45"/>
    </row>
    <row r="52" spans="5:5" s="44" customFormat="1" ht="14.1" customHeight="1">
      <c r="E52" s="45"/>
    </row>
    <row r="53" spans="5:5" s="44" customFormat="1" ht="14.1" customHeight="1">
      <c r="E53" s="45"/>
    </row>
    <row r="54" spans="5:5" s="44" customFormat="1" ht="14.1" customHeight="1">
      <c r="E54" s="45"/>
    </row>
    <row r="55" spans="5:5" s="44" customFormat="1" ht="14.1" customHeight="1">
      <c r="E55" s="45"/>
    </row>
    <row r="56" spans="5:5" s="44" customFormat="1" ht="14.1" customHeight="1">
      <c r="E56" s="45"/>
    </row>
    <row r="57" spans="5:5" s="44" customFormat="1" ht="14.1" customHeight="1">
      <c r="E57" s="45"/>
    </row>
    <row r="58" spans="5:5" s="44" customFormat="1" ht="14.1" customHeight="1">
      <c r="E58" s="45"/>
    </row>
    <row r="59" spans="5:5" s="44" customFormat="1" ht="14.1" customHeight="1">
      <c r="E59" s="45"/>
    </row>
    <row r="60" spans="5:5" s="44" customFormat="1" ht="14.1" customHeight="1">
      <c r="E60" s="45"/>
    </row>
    <row r="61" spans="5:5" s="44" customFormat="1" ht="14.1" customHeight="1">
      <c r="E61" s="45"/>
    </row>
    <row r="62" spans="5:5" s="44" customFormat="1" ht="14.1" customHeight="1">
      <c r="E62" s="45"/>
    </row>
    <row r="63" spans="5:5" s="44" customFormat="1" ht="14.1" customHeight="1">
      <c r="E63" s="45"/>
    </row>
    <row r="64" spans="5:5" s="44" customFormat="1" ht="14.1" customHeight="1">
      <c r="E64" s="45"/>
    </row>
    <row r="65" spans="5:5" s="44" customFormat="1" ht="14.1" customHeight="1">
      <c r="E65" s="45"/>
    </row>
    <row r="66" spans="5:5" s="44" customFormat="1" ht="14.1" customHeight="1">
      <c r="E66" s="45"/>
    </row>
    <row r="67" spans="5:5" s="44" customFormat="1" ht="14.1" customHeight="1">
      <c r="E67" s="45"/>
    </row>
    <row r="68" spans="5:5" s="44" customFormat="1" ht="14.1" customHeight="1">
      <c r="E68" s="45"/>
    </row>
    <row r="69" spans="5:5" s="44" customFormat="1" ht="14.1" customHeight="1">
      <c r="E69" s="45"/>
    </row>
    <row r="70" spans="5:5" s="44" customFormat="1" ht="14.1" customHeight="1">
      <c r="E70" s="45"/>
    </row>
    <row r="71" spans="5:5" s="44" customFormat="1" ht="14.1" customHeight="1">
      <c r="E71" s="45"/>
    </row>
    <row r="72" spans="5:5" s="44" customFormat="1" ht="14.1" customHeight="1">
      <c r="E72" s="45"/>
    </row>
    <row r="73" spans="5:5" s="44" customFormat="1" ht="14.1" customHeight="1">
      <c r="E73" s="45"/>
    </row>
    <row r="74" spans="5:5" s="44" customFormat="1" ht="14.1" customHeight="1">
      <c r="E74" s="45"/>
    </row>
    <row r="75" spans="5:5" s="44" customFormat="1" ht="14.1" customHeight="1">
      <c r="E75" s="45"/>
    </row>
    <row r="76" spans="5:5" s="44" customFormat="1" ht="14.1" customHeight="1">
      <c r="E76" s="45"/>
    </row>
    <row r="77" spans="5:5" s="44" customFormat="1" ht="14.1" customHeight="1">
      <c r="E77" s="45"/>
    </row>
    <row r="78" spans="5:5" s="44" customFormat="1" ht="14.1" customHeight="1">
      <c r="E78" s="45"/>
    </row>
    <row r="79" spans="5:5" s="44" customFormat="1" ht="14.1" customHeight="1">
      <c r="E79" s="45"/>
    </row>
    <row r="80" spans="5:5" s="44" customFormat="1" ht="14.1" customHeight="1">
      <c r="E80" s="45"/>
    </row>
    <row r="81" spans="5:5" s="44" customFormat="1" ht="14.1" customHeight="1">
      <c r="E81" s="45"/>
    </row>
    <row r="82" spans="5:5" s="44" customFormat="1" ht="14.1" customHeight="1">
      <c r="E82" s="45"/>
    </row>
    <row r="83" spans="5:5" s="44" customFormat="1" ht="14.1" customHeight="1">
      <c r="E83" s="45"/>
    </row>
    <row r="84" spans="5:5" s="44" customFormat="1" ht="14.1" customHeight="1">
      <c r="E84" s="45"/>
    </row>
    <row r="85" spans="5:5" s="44" customFormat="1" ht="14.1" customHeight="1">
      <c r="E85" s="45"/>
    </row>
    <row r="86" spans="5:5" s="44" customFormat="1" ht="14.1" customHeight="1">
      <c r="E86" s="45"/>
    </row>
    <row r="87" spans="5:5" s="44" customFormat="1" ht="14.1" customHeight="1">
      <c r="E87" s="45"/>
    </row>
    <row r="88" spans="5:5" s="44" customFormat="1" ht="14.1" customHeight="1">
      <c r="E88" s="45"/>
    </row>
    <row r="89" spans="5:5" s="44" customFormat="1" ht="14.1" customHeight="1">
      <c r="E89" s="45"/>
    </row>
    <row r="90" spans="5:5" s="44" customFormat="1" ht="14.1" customHeight="1">
      <c r="E90" s="45"/>
    </row>
    <row r="91" spans="5:5" s="44" customFormat="1" ht="14.1" customHeight="1">
      <c r="E91" s="45"/>
    </row>
    <row r="92" spans="5:5" s="44" customFormat="1" ht="14.1" customHeight="1">
      <c r="E92" s="45"/>
    </row>
    <row r="93" spans="5:5" s="44" customFormat="1" ht="14.1" customHeight="1">
      <c r="E93" s="45"/>
    </row>
    <row r="94" spans="5:5" s="44" customFormat="1" ht="14.1" customHeight="1">
      <c r="E94" s="45"/>
    </row>
    <row r="95" spans="5:5" s="44" customFormat="1" ht="14.1" customHeight="1">
      <c r="E95" s="45"/>
    </row>
    <row r="96" spans="5:5" s="44" customFormat="1" ht="14.1" customHeight="1">
      <c r="E96" s="45"/>
    </row>
    <row r="97" spans="5:5" s="44" customFormat="1" ht="14.1" customHeight="1">
      <c r="E97" s="45"/>
    </row>
    <row r="98" spans="5:5" s="44" customFormat="1" ht="14.1" customHeight="1">
      <c r="E98" s="45"/>
    </row>
    <row r="99" spans="5:5" s="44" customFormat="1" ht="14.1" customHeight="1">
      <c r="E99" s="45"/>
    </row>
    <row r="100" spans="5:5" s="44" customFormat="1" ht="14.1" customHeight="1">
      <c r="E100" s="45"/>
    </row>
    <row r="101" spans="5:5" s="44" customFormat="1" ht="14.1" customHeight="1">
      <c r="E101" s="45"/>
    </row>
    <row r="102" spans="5:5" s="44" customFormat="1" ht="14.1" customHeight="1">
      <c r="E102" s="45"/>
    </row>
    <row r="103" spans="5:5" s="44" customFormat="1" ht="14.1" customHeight="1">
      <c r="E103" s="45"/>
    </row>
    <row r="104" spans="5:5" s="44" customFormat="1" ht="14.1" customHeight="1">
      <c r="E104" s="45"/>
    </row>
    <row r="105" spans="5:5" s="44" customFormat="1" ht="14.1" customHeight="1">
      <c r="E105" s="45"/>
    </row>
    <row r="106" spans="5:5" s="44" customFormat="1" ht="14.1" customHeight="1">
      <c r="E106" s="45"/>
    </row>
    <row r="107" spans="5:5" s="44" customFormat="1" ht="14.1" customHeight="1">
      <c r="E107" s="45"/>
    </row>
    <row r="108" spans="5:5" s="44" customFormat="1" ht="14.1" customHeight="1">
      <c r="E108" s="45"/>
    </row>
    <row r="109" spans="5:5" s="44" customFormat="1" ht="14.1" customHeight="1">
      <c r="E109" s="45"/>
    </row>
    <row r="110" spans="5:5" s="44" customFormat="1" ht="14.1" customHeight="1">
      <c r="E110" s="45"/>
    </row>
    <row r="111" spans="5:5" s="44" customFormat="1" ht="14.1" customHeight="1">
      <c r="E111" s="45"/>
    </row>
    <row r="112" spans="5:5" s="44" customFormat="1" ht="14.1" customHeight="1">
      <c r="E112" s="45"/>
    </row>
    <row r="113" spans="5:5" s="44" customFormat="1" ht="14.1" customHeight="1">
      <c r="E113" s="45"/>
    </row>
    <row r="114" spans="5:5" s="44" customFormat="1" ht="14.1" customHeight="1">
      <c r="E114" s="45"/>
    </row>
    <row r="115" spans="5:5" s="44" customFormat="1" ht="14.1" customHeight="1">
      <c r="E115" s="45"/>
    </row>
    <row r="116" spans="5:5" s="44" customFormat="1" ht="14.1" customHeight="1">
      <c r="E116" s="45"/>
    </row>
    <row r="117" spans="5:5" s="44" customFormat="1" ht="14.1" customHeight="1">
      <c r="E117" s="45"/>
    </row>
    <row r="118" spans="5:5" s="44" customFormat="1" ht="14.1" customHeight="1">
      <c r="E118" s="45"/>
    </row>
    <row r="119" spans="5:5" s="44" customFormat="1" ht="14.1" customHeight="1">
      <c r="E119" s="45"/>
    </row>
    <row r="120" spans="5:5" s="44" customFormat="1" ht="14.1" customHeight="1">
      <c r="E120" s="45"/>
    </row>
    <row r="121" spans="5:5" s="44" customFormat="1" ht="14.1" customHeight="1">
      <c r="E121" s="45"/>
    </row>
    <row r="122" spans="5:5" s="44" customFormat="1" ht="14.1" customHeight="1">
      <c r="E122" s="45"/>
    </row>
    <row r="123" spans="5:5" s="44" customFormat="1" ht="14.1" customHeight="1">
      <c r="E123" s="45"/>
    </row>
    <row r="124" spans="5:5" s="44" customFormat="1" ht="14.1" customHeight="1">
      <c r="E124" s="45"/>
    </row>
    <row r="125" spans="5:5" s="44" customFormat="1" ht="14.1" customHeight="1">
      <c r="E125" s="45"/>
    </row>
    <row r="126" spans="5:5" s="44" customFormat="1" ht="14.1" customHeight="1">
      <c r="E126" s="45"/>
    </row>
    <row r="127" spans="5:5" s="44" customFormat="1" ht="14.1" customHeight="1">
      <c r="E127" s="45"/>
    </row>
    <row r="128" spans="5:5" s="44" customFormat="1" ht="14.1" customHeight="1">
      <c r="E128" s="45"/>
    </row>
    <row r="129" spans="5:5" s="44" customFormat="1" ht="14.1" customHeight="1">
      <c r="E129" s="45"/>
    </row>
    <row r="130" spans="5:5" s="44" customFormat="1" ht="14.1" customHeight="1">
      <c r="E130" s="45"/>
    </row>
    <row r="131" spans="5:5" s="44" customFormat="1" ht="14.1" customHeight="1">
      <c r="E131" s="45"/>
    </row>
    <row r="132" spans="5:5" s="44" customFormat="1" ht="14.1" customHeight="1">
      <c r="E132" s="45"/>
    </row>
    <row r="133" spans="5:5" s="44" customFormat="1" ht="14.1" customHeight="1">
      <c r="E133" s="45"/>
    </row>
    <row r="134" spans="5:5" s="44" customFormat="1" ht="14.1" customHeight="1">
      <c r="E134" s="45"/>
    </row>
    <row r="135" spans="5:5" s="44" customFormat="1" ht="14.1" customHeight="1">
      <c r="E135" s="45"/>
    </row>
    <row r="136" spans="5:5" s="44" customFormat="1" ht="14.1" customHeight="1">
      <c r="E136" s="45"/>
    </row>
    <row r="137" spans="5:5" s="44" customFormat="1" ht="14.1" customHeight="1">
      <c r="E137" s="45"/>
    </row>
    <row r="138" spans="5:5" s="44" customFormat="1" ht="14.1" customHeight="1">
      <c r="E138" s="45"/>
    </row>
    <row r="139" spans="5:5" s="44" customFormat="1" ht="14.1" customHeight="1">
      <c r="E139" s="45"/>
    </row>
    <row r="140" spans="5:5" s="44" customFormat="1" ht="14.1" customHeight="1">
      <c r="E140" s="45"/>
    </row>
    <row r="141" spans="5:5" s="44" customFormat="1" ht="14.1" customHeight="1">
      <c r="E141" s="45"/>
    </row>
    <row r="142" spans="5:5" s="44" customFormat="1" ht="14.1" customHeight="1">
      <c r="E142" s="45"/>
    </row>
    <row r="143" spans="5:5" s="44" customFormat="1" ht="14.1" customHeight="1">
      <c r="E143" s="45"/>
    </row>
    <row r="144" spans="5:5" s="44" customFormat="1" ht="14.1" customHeight="1">
      <c r="E144" s="45"/>
    </row>
    <row r="145" spans="5:5" s="44" customFormat="1" ht="14.1" customHeight="1">
      <c r="E145" s="45"/>
    </row>
    <row r="146" spans="5:5" s="44" customFormat="1" ht="14.1" customHeight="1">
      <c r="E146" s="45"/>
    </row>
    <row r="147" spans="5:5" s="44" customFormat="1" ht="14.1" customHeight="1">
      <c r="E147" s="45"/>
    </row>
    <row r="148" spans="5:5" s="44" customFormat="1" ht="14.1" customHeight="1">
      <c r="E148" s="45"/>
    </row>
    <row r="149" spans="5:5" s="44" customFormat="1" ht="14.1" customHeight="1">
      <c r="E149" s="45"/>
    </row>
    <row r="150" spans="5:5" s="44" customFormat="1" ht="14.1" customHeight="1">
      <c r="E150" s="45"/>
    </row>
    <row r="151" spans="5:5" s="44" customFormat="1" ht="14.1" customHeight="1">
      <c r="E151" s="45"/>
    </row>
    <row r="152" spans="5:5" s="44" customFormat="1" ht="14.1" customHeight="1">
      <c r="E152" s="45"/>
    </row>
    <row r="153" spans="5:5" s="44" customFormat="1" ht="14.1" customHeight="1">
      <c r="E153" s="45"/>
    </row>
    <row r="154" spans="5:5" s="44" customFormat="1" ht="14.1" customHeight="1">
      <c r="E154" s="45"/>
    </row>
    <row r="155" spans="5:5" s="44" customFormat="1" ht="14.1" customHeight="1">
      <c r="E155" s="45"/>
    </row>
    <row r="156" spans="5:5" s="44" customFormat="1" ht="14.1" customHeight="1">
      <c r="E156" s="45"/>
    </row>
    <row r="157" spans="5:5" s="44" customFormat="1" ht="14.1" customHeight="1">
      <c r="E157" s="45"/>
    </row>
    <row r="158" spans="5:5" s="44" customFormat="1" ht="14.1" customHeight="1">
      <c r="E158" s="45"/>
    </row>
    <row r="159" spans="5:5" s="44" customFormat="1" ht="14.1" customHeight="1">
      <c r="E159" s="45"/>
    </row>
    <row r="160" spans="5:5" s="44" customFormat="1" ht="14.1" customHeight="1">
      <c r="E160" s="45"/>
    </row>
    <row r="161" spans="5:5" s="44" customFormat="1" ht="14.1" customHeight="1">
      <c r="E161" s="45"/>
    </row>
    <row r="162" spans="5:5" s="44" customFormat="1" ht="14.1" customHeight="1">
      <c r="E162" s="45"/>
    </row>
    <row r="163" spans="5:5" s="44" customFormat="1" ht="14.1" customHeight="1">
      <c r="E163" s="45"/>
    </row>
    <row r="164" spans="5:5" s="44" customFormat="1" ht="14.1" customHeight="1">
      <c r="E164" s="45"/>
    </row>
    <row r="165" spans="5:5" s="44" customFormat="1" ht="14.1" customHeight="1">
      <c r="E165" s="45"/>
    </row>
    <row r="166" spans="5:5" s="44" customFormat="1" ht="14.1" customHeight="1">
      <c r="E166" s="45"/>
    </row>
    <row r="167" spans="5:5" s="44" customFormat="1" ht="14.1" customHeight="1">
      <c r="E167" s="45"/>
    </row>
    <row r="168" spans="5:5" s="44" customFormat="1" ht="14.1" customHeight="1">
      <c r="E168" s="45"/>
    </row>
    <row r="169" spans="5:5" ht="14.1" customHeight="1"/>
    <row r="170" spans="5:5" ht="14.1" customHeight="1"/>
    <row r="171" spans="5:5" ht="14.1" customHeight="1"/>
    <row r="172" spans="5:5" ht="14.1" customHeight="1"/>
    <row r="173" spans="5:5" ht="14.1" customHeight="1"/>
    <row r="174" spans="5:5" ht="14.1" customHeight="1"/>
    <row r="175" spans="5:5" ht="14.1" customHeight="1"/>
    <row r="176" spans="5:5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</sheetData>
  <mergeCells count="14">
    <mergeCell ref="C5:D5"/>
    <mergeCell ref="U1:W1"/>
    <mergeCell ref="U2:W2"/>
    <mergeCell ref="U3:W3"/>
    <mergeCell ref="D1:Q1"/>
    <mergeCell ref="D2:Q2"/>
    <mergeCell ref="D3:Q3"/>
    <mergeCell ref="A6:A17"/>
    <mergeCell ref="B6:B17"/>
    <mergeCell ref="A31:A42"/>
    <mergeCell ref="B31:B42"/>
    <mergeCell ref="A5:B5"/>
    <mergeCell ref="A19:A30"/>
    <mergeCell ref="B19:B30"/>
  </mergeCells>
  <phoneticPr fontId="0" type="noConversion"/>
  <pageMargins left="0.17" right="0.16" top="0.27" bottom="0.38" header="0.2" footer="0.28999999999999998"/>
  <pageSetup paperSize="9" scale="68" fitToHeight="21" orientation="landscape" r:id="rId1"/>
  <headerFooter alignWithMargins="0">
    <oddFooter>&amp;L&amp;7&amp;F,&amp;A&amp;C&amp;8&amp;P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X168"/>
  <sheetViews>
    <sheetView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24</v>
      </c>
      <c r="V1" s="95"/>
      <c r="W1" s="95"/>
    </row>
    <row r="2" spans="1:232" ht="21.75" customHeight="1">
      <c r="A2" s="17"/>
      <c r="B2" s="17"/>
      <c r="C2" s="17"/>
      <c r="D2" s="106" t="s">
        <v>19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45180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26</v>
      </c>
      <c r="C6" s="38" t="s">
        <v>38</v>
      </c>
      <c r="D6" s="23" t="s">
        <v>4</v>
      </c>
      <c r="E6" s="55">
        <f t="shared" ref="E6:E17" si="0">SUM(F6:W6)</f>
        <v>0</v>
      </c>
      <c r="F6" s="67">
        <f>SUMIF($D$19:$D$300,$D6,F$19:F$300)</f>
        <v>0</v>
      </c>
      <c r="G6" s="68">
        <f t="shared" ref="G6:V17" si="1">SUMIF($D$19:$D$300,$D6,G$19:G$300)</f>
        <v>0</v>
      </c>
      <c r="H6" s="68">
        <f t="shared" si="1"/>
        <v>0</v>
      </c>
      <c r="I6" s="68">
        <f t="shared" si="1"/>
        <v>0</v>
      </c>
      <c r="J6" s="68">
        <f t="shared" si="1"/>
        <v>0</v>
      </c>
      <c r="K6" s="68">
        <f t="shared" si="1"/>
        <v>0</v>
      </c>
      <c r="L6" s="68">
        <f t="shared" si="1"/>
        <v>0</v>
      </c>
      <c r="M6" s="68">
        <f t="shared" si="1"/>
        <v>0</v>
      </c>
      <c r="N6" s="68">
        <f t="shared" si="1"/>
        <v>0</v>
      </c>
      <c r="O6" s="68">
        <f t="shared" si="1"/>
        <v>0</v>
      </c>
      <c r="P6" s="68">
        <f t="shared" si="1"/>
        <v>0</v>
      </c>
      <c r="Q6" s="68">
        <f t="shared" si="1"/>
        <v>0</v>
      </c>
      <c r="R6" s="68">
        <f t="shared" si="1"/>
        <v>0</v>
      </c>
      <c r="S6" s="68">
        <f t="shared" si="1"/>
        <v>0</v>
      </c>
      <c r="T6" s="68">
        <f t="shared" si="1"/>
        <v>0</v>
      </c>
      <c r="U6" s="68">
        <f t="shared" si="1"/>
        <v>0</v>
      </c>
      <c r="V6" s="68">
        <f t="shared" si="1"/>
        <v>0</v>
      </c>
      <c r="W6" s="69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7">
        <f t="shared" ref="F7:F17" si="3">SUMIF($D$19:$D$300,$D7,F$19:F$300)</f>
        <v>0</v>
      </c>
      <c r="G7" s="68">
        <f t="shared" si="1"/>
        <v>0</v>
      </c>
      <c r="H7" s="68">
        <f t="shared" si="1"/>
        <v>0</v>
      </c>
      <c r="I7" s="68">
        <f t="shared" si="1"/>
        <v>0</v>
      </c>
      <c r="J7" s="68">
        <f t="shared" si="1"/>
        <v>0</v>
      </c>
      <c r="K7" s="68">
        <f t="shared" si="1"/>
        <v>0</v>
      </c>
      <c r="L7" s="68">
        <f t="shared" si="1"/>
        <v>0</v>
      </c>
      <c r="M7" s="68">
        <f t="shared" si="1"/>
        <v>0</v>
      </c>
      <c r="N7" s="68">
        <f t="shared" si="1"/>
        <v>0</v>
      </c>
      <c r="O7" s="68">
        <f t="shared" si="1"/>
        <v>0</v>
      </c>
      <c r="P7" s="68">
        <f t="shared" si="1"/>
        <v>0</v>
      </c>
      <c r="Q7" s="68">
        <f t="shared" si="1"/>
        <v>0</v>
      </c>
      <c r="R7" s="68">
        <f t="shared" si="1"/>
        <v>0</v>
      </c>
      <c r="S7" s="68">
        <f t="shared" si="1"/>
        <v>0</v>
      </c>
      <c r="T7" s="68">
        <f t="shared" si="1"/>
        <v>0</v>
      </c>
      <c r="U7" s="68">
        <f t="shared" si="1"/>
        <v>0</v>
      </c>
      <c r="V7" s="68">
        <f t="shared" si="1"/>
        <v>0</v>
      </c>
      <c r="W7" s="69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7">
        <f t="shared" si="3"/>
        <v>0</v>
      </c>
      <c r="G8" s="68">
        <f t="shared" si="1"/>
        <v>0</v>
      </c>
      <c r="H8" s="68">
        <f t="shared" si="1"/>
        <v>0</v>
      </c>
      <c r="I8" s="68">
        <f t="shared" si="1"/>
        <v>0</v>
      </c>
      <c r="J8" s="68">
        <f t="shared" si="1"/>
        <v>0</v>
      </c>
      <c r="K8" s="68">
        <f t="shared" si="1"/>
        <v>0</v>
      </c>
      <c r="L8" s="68">
        <f t="shared" si="1"/>
        <v>0</v>
      </c>
      <c r="M8" s="68">
        <f t="shared" si="1"/>
        <v>0</v>
      </c>
      <c r="N8" s="68">
        <f t="shared" si="1"/>
        <v>0</v>
      </c>
      <c r="O8" s="68">
        <f t="shared" si="1"/>
        <v>0</v>
      </c>
      <c r="P8" s="68">
        <f t="shared" si="1"/>
        <v>0</v>
      </c>
      <c r="Q8" s="68">
        <f t="shared" si="1"/>
        <v>0</v>
      </c>
      <c r="R8" s="68">
        <f t="shared" si="1"/>
        <v>0</v>
      </c>
      <c r="S8" s="68">
        <f t="shared" si="1"/>
        <v>0</v>
      </c>
      <c r="T8" s="68">
        <f t="shared" si="1"/>
        <v>0</v>
      </c>
      <c r="U8" s="68">
        <f t="shared" si="1"/>
        <v>0</v>
      </c>
      <c r="V8" s="68">
        <f t="shared" si="1"/>
        <v>0</v>
      </c>
      <c r="W8" s="69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51">
        <f t="shared" si="3"/>
        <v>0</v>
      </c>
      <c r="G9" s="52">
        <f t="shared" si="1"/>
        <v>0</v>
      </c>
      <c r="H9" s="52">
        <f t="shared" si="1"/>
        <v>0</v>
      </c>
      <c r="I9" s="52">
        <f t="shared" si="1"/>
        <v>0</v>
      </c>
      <c r="J9" s="52">
        <f t="shared" si="1"/>
        <v>0</v>
      </c>
      <c r="K9" s="52">
        <f t="shared" si="1"/>
        <v>0</v>
      </c>
      <c r="L9" s="52">
        <f t="shared" si="1"/>
        <v>0</v>
      </c>
      <c r="M9" s="52">
        <f t="shared" si="1"/>
        <v>0</v>
      </c>
      <c r="N9" s="52">
        <f t="shared" si="1"/>
        <v>0</v>
      </c>
      <c r="O9" s="52">
        <f t="shared" si="1"/>
        <v>0</v>
      </c>
      <c r="P9" s="52">
        <f t="shared" si="1"/>
        <v>0</v>
      </c>
      <c r="Q9" s="52">
        <f t="shared" si="1"/>
        <v>0</v>
      </c>
      <c r="R9" s="52">
        <f t="shared" si="1"/>
        <v>0</v>
      </c>
      <c r="S9" s="52">
        <f t="shared" si="1"/>
        <v>0</v>
      </c>
      <c r="T9" s="52">
        <f t="shared" si="1"/>
        <v>0</v>
      </c>
      <c r="U9" s="52">
        <f t="shared" si="1"/>
        <v>0</v>
      </c>
      <c r="V9" s="52">
        <f t="shared" si="1"/>
        <v>0</v>
      </c>
      <c r="W9" s="54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51">
        <f t="shared" si="3"/>
        <v>0</v>
      </c>
      <c r="G10" s="52">
        <f t="shared" si="1"/>
        <v>0</v>
      </c>
      <c r="H10" s="52">
        <f t="shared" si="1"/>
        <v>0</v>
      </c>
      <c r="I10" s="52">
        <f t="shared" si="1"/>
        <v>0</v>
      </c>
      <c r="J10" s="52">
        <f t="shared" si="1"/>
        <v>0</v>
      </c>
      <c r="K10" s="52">
        <f t="shared" si="1"/>
        <v>0</v>
      </c>
      <c r="L10" s="52">
        <f t="shared" si="1"/>
        <v>0</v>
      </c>
      <c r="M10" s="52">
        <f t="shared" si="1"/>
        <v>0</v>
      </c>
      <c r="N10" s="52">
        <f t="shared" si="1"/>
        <v>0</v>
      </c>
      <c r="O10" s="52">
        <f t="shared" si="1"/>
        <v>0</v>
      </c>
      <c r="P10" s="52">
        <f t="shared" si="1"/>
        <v>0</v>
      </c>
      <c r="Q10" s="52">
        <f t="shared" si="1"/>
        <v>0</v>
      </c>
      <c r="R10" s="52">
        <f t="shared" si="1"/>
        <v>0</v>
      </c>
      <c r="S10" s="52">
        <f t="shared" si="1"/>
        <v>0</v>
      </c>
      <c r="T10" s="52">
        <f t="shared" si="1"/>
        <v>0</v>
      </c>
      <c r="U10" s="52">
        <f t="shared" si="1"/>
        <v>0</v>
      </c>
      <c r="V10" s="52">
        <f t="shared" si="1"/>
        <v>0</v>
      </c>
      <c r="W10" s="54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51">
        <f t="shared" si="3"/>
        <v>0</v>
      </c>
      <c r="G11" s="52">
        <f t="shared" si="1"/>
        <v>0</v>
      </c>
      <c r="H11" s="52">
        <f t="shared" si="1"/>
        <v>0</v>
      </c>
      <c r="I11" s="52">
        <f t="shared" si="1"/>
        <v>0</v>
      </c>
      <c r="J11" s="52">
        <f t="shared" si="1"/>
        <v>0</v>
      </c>
      <c r="K11" s="52">
        <f t="shared" si="1"/>
        <v>0</v>
      </c>
      <c r="L11" s="52">
        <f t="shared" si="1"/>
        <v>0</v>
      </c>
      <c r="M11" s="52">
        <f t="shared" si="1"/>
        <v>0</v>
      </c>
      <c r="N11" s="52">
        <f t="shared" si="1"/>
        <v>0</v>
      </c>
      <c r="O11" s="52">
        <f t="shared" si="1"/>
        <v>0</v>
      </c>
      <c r="P11" s="52">
        <f t="shared" si="1"/>
        <v>0</v>
      </c>
      <c r="Q11" s="52">
        <f t="shared" si="1"/>
        <v>0</v>
      </c>
      <c r="R11" s="52">
        <f t="shared" si="1"/>
        <v>0</v>
      </c>
      <c r="S11" s="52">
        <f t="shared" si="1"/>
        <v>0</v>
      </c>
      <c r="T11" s="52">
        <f t="shared" si="1"/>
        <v>0</v>
      </c>
      <c r="U11" s="52">
        <f t="shared" si="1"/>
        <v>0</v>
      </c>
      <c r="V11" s="52">
        <f t="shared" si="1"/>
        <v>0</v>
      </c>
      <c r="W11" s="54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51">
        <f t="shared" si="3"/>
        <v>0</v>
      </c>
      <c r="G12" s="52">
        <f t="shared" si="1"/>
        <v>0</v>
      </c>
      <c r="H12" s="52">
        <f t="shared" si="1"/>
        <v>0</v>
      </c>
      <c r="I12" s="52">
        <f t="shared" si="1"/>
        <v>0</v>
      </c>
      <c r="J12" s="52">
        <f t="shared" si="1"/>
        <v>0</v>
      </c>
      <c r="K12" s="52">
        <f t="shared" si="1"/>
        <v>0</v>
      </c>
      <c r="L12" s="52">
        <f t="shared" si="1"/>
        <v>0</v>
      </c>
      <c r="M12" s="52">
        <f t="shared" si="1"/>
        <v>0</v>
      </c>
      <c r="N12" s="52">
        <f t="shared" si="1"/>
        <v>0</v>
      </c>
      <c r="O12" s="52">
        <f t="shared" si="1"/>
        <v>0</v>
      </c>
      <c r="P12" s="52">
        <f t="shared" si="1"/>
        <v>0</v>
      </c>
      <c r="Q12" s="52">
        <f t="shared" si="1"/>
        <v>0</v>
      </c>
      <c r="R12" s="52">
        <f t="shared" si="1"/>
        <v>0</v>
      </c>
      <c r="S12" s="52">
        <f t="shared" si="1"/>
        <v>0</v>
      </c>
      <c r="T12" s="52">
        <f t="shared" si="1"/>
        <v>0</v>
      </c>
      <c r="U12" s="52">
        <f t="shared" si="1"/>
        <v>0</v>
      </c>
      <c r="V12" s="52">
        <f t="shared" si="1"/>
        <v>0</v>
      </c>
      <c r="W12" s="54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51">
        <f t="shared" si="3"/>
        <v>0</v>
      </c>
      <c r="G13" s="52">
        <f t="shared" si="1"/>
        <v>0</v>
      </c>
      <c r="H13" s="52">
        <f t="shared" si="1"/>
        <v>0</v>
      </c>
      <c r="I13" s="52">
        <f t="shared" si="1"/>
        <v>0</v>
      </c>
      <c r="J13" s="52">
        <f t="shared" si="1"/>
        <v>0</v>
      </c>
      <c r="K13" s="52">
        <f t="shared" si="1"/>
        <v>0</v>
      </c>
      <c r="L13" s="52">
        <f t="shared" si="1"/>
        <v>0</v>
      </c>
      <c r="M13" s="52">
        <f t="shared" si="1"/>
        <v>0</v>
      </c>
      <c r="N13" s="52">
        <f t="shared" si="1"/>
        <v>0</v>
      </c>
      <c r="O13" s="52">
        <f t="shared" si="1"/>
        <v>0</v>
      </c>
      <c r="P13" s="52">
        <f t="shared" si="1"/>
        <v>0</v>
      </c>
      <c r="Q13" s="52">
        <f t="shared" si="1"/>
        <v>0</v>
      </c>
      <c r="R13" s="52">
        <f t="shared" si="1"/>
        <v>0</v>
      </c>
      <c r="S13" s="52">
        <f t="shared" si="1"/>
        <v>0</v>
      </c>
      <c r="T13" s="52">
        <f t="shared" si="1"/>
        <v>0</v>
      </c>
      <c r="U13" s="52">
        <f t="shared" si="1"/>
        <v>0</v>
      </c>
      <c r="V13" s="52">
        <f t="shared" si="1"/>
        <v>0</v>
      </c>
      <c r="W13" s="54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51">
        <f t="shared" si="3"/>
        <v>0</v>
      </c>
      <c r="G14" s="52">
        <f t="shared" si="1"/>
        <v>0</v>
      </c>
      <c r="H14" s="52">
        <f t="shared" si="1"/>
        <v>0</v>
      </c>
      <c r="I14" s="52">
        <f t="shared" si="1"/>
        <v>0</v>
      </c>
      <c r="J14" s="52">
        <f t="shared" si="1"/>
        <v>0</v>
      </c>
      <c r="K14" s="52">
        <f t="shared" si="1"/>
        <v>0</v>
      </c>
      <c r="L14" s="52">
        <f t="shared" si="1"/>
        <v>0</v>
      </c>
      <c r="M14" s="52">
        <f t="shared" si="1"/>
        <v>0</v>
      </c>
      <c r="N14" s="52">
        <f t="shared" si="1"/>
        <v>0</v>
      </c>
      <c r="O14" s="52">
        <f t="shared" si="1"/>
        <v>0</v>
      </c>
      <c r="P14" s="52">
        <f t="shared" si="1"/>
        <v>0</v>
      </c>
      <c r="Q14" s="52">
        <f t="shared" si="1"/>
        <v>0</v>
      </c>
      <c r="R14" s="52">
        <f t="shared" si="1"/>
        <v>0</v>
      </c>
      <c r="S14" s="52">
        <f t="shared" si="1"/>
        <v>0</v>
      </c>
      <c r="T14" s="52">
        <f t="shared" si="1"/>
        <v>0</v>
      </c>
      <c r="U14" s="52">
        <f t="shared" si="1"/>
        <v>0</v>
      </c>
      <c r="V14" s="52">
        <f t="shared" si="1"/>
        <v>0</v>
      </c>
      <c r="W14" s="54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51">
        <f t="shared" si="3"/>
        <v>0</v>
      </c>
      <c r="G15" s="52">
        <f t="shared" si="1"/>
        <v>0</v>
      </c>
      <c r="H15" s="52">
        <f t="shared" si="1"/>
        <v>0</v>
      </c>
      <c r="I15" s="52">
        <f t="shared" si="1"/>
        <v>0</v>
      </c>
      <c r="J15" s="52">
        <f t="shared" si="1"/>
        <v>0</v>
      </c>
      <c r="K15" s="52">
        <f t="shared" si="1"/>
        <v>0</v>
      </c>
      <c r="L15" s="52">
        <f t="shared" si="1"/>
        <v>0</v>
      </c>
      <c r="M15" s="52">
        <f t="shared" si="1"/>
        <v>0</v>
      </c>
      <c r="N15" s="52">
        <f t="shared" si="1"/>
        <v>0</v>
      </c>
      <c r="O15" s="52">
        <f t="shared" si="1"/>
        <v>0</v>
      </c>
      <c r="P15" s="52">
        <f t="shared" si="1"/>
        <v>0</v>
      </c>
      <c r="Q15" s="52">
        <f t="shared" si="1"/>
        <v>0</v>
      </c>
      <c r="R15" s="52">
        <f t="shared" si="1"/>
        <v>0</v>
      </c>
      <c r="S15" s="52">
        <f t="shared" si="1"/>
        <v>0</v>
      </c>
      <c r="T15" s="52">
        <f t="shared" si="1"/>
        <v>0</v>
      </c>
      <c r="U15" s="52">
        <f t="shared" si="1"/>
        <v>0</v>
      </c>
      <c r="V15" s="52">
        <f t="shared" si="1"/>
        <v>0</v>
      </c>
      <c r="W15" s="54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51">
        <f t="shared" si="3"/>
        <v>0</v>
      </c>
      <c r="G16" s="52">
        <f t="shared" si="1"/>
        <v>0</v>
      </c>
      <c r="H16" s="52">
        <f t="shared" si="1"/>
        <v>0</v>
      </c>
      <c r="I16" s="52">
        <f t="shared" si="1"/>
        <v>0</v>
      </c>
      <c r="J16" s="52">
        <f t="shared" si="1"/>
        <v>0</v>
      </c>
      <c r="K16" s="52">
        <f t="shared" si="1"/>
        <v>0</v>
      </c>
      <c r="L16" s="52">
        <f t="shared" si="1"/>
        <v>0</v>
      </c>
      <c r="M16" s="52">
        <f t="shared" si="1"/>
        <v>0</v>
      </c>
      <c r="N16" s="52">
        <f t="shared" si="1"/>
        <v>0</v>
      </c>
      <c r="O16" s="52">
        <f t="shared" si="1"/>
        <v>0</v>
      </c>
      <c r="P16" s="52">
        <f t="shared" si="1"/>
        <v>0</v>
      </c>
      <c r="Q16" s="52">
        <f t="shared" si="1"/>
        <v>0</v>
      </c>
      <c r="R16" s="52">
        <f t="shared" si="1"/>
        <v>0</v>
      </c>
      <c r="S16" s="52">
        <f t="shared" si="1"/>
        <v>0</v>
      </c>
      <c r="T16" s="52">
        <f t="shared" si="1"/>
        <v>0</v>
      </c>
      <c r="U16" s="52">
        <f t="shared" si="1"/>
        <v>0</v>
      </c>
      <c r="V16" s="52">
        <f t="shared" si="1"/>
        <v>0</v>
      </c>
      <c r="W16" s="54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58">
        <f t="shared" si="3"/>
        <v>0</v>
      </c>
      <c r="G17" s="59">
        <f t="shared" si="1"/>
        <v>0</v>
      </c>
      <c r="H17" s="60">
        <f t="shared" si="1"/>
        <v>0</v>
      </c>
      <c r="I17" s="60">
        <f t="shared" si="1"/>
        <v>0</v>
      </c>
      <c r="J17" s="60">
        <f t="shared" si="1"/>
        <v>0</v>
      </c>
      <c r="K17" s="60">
        <f t="shared" si="1"/>
        <v>0</v>
      </c>
      <c r="L17" s="60">
        <f t="shared" si="1"/>
        <v>0</v>
      </c>
      <c r="M17" s="60">
        <f t="shared" si="1"/>
        <v>0</v>
      </c>
      <c r="N17" s="60">
        <f t="shared" si="1"/>
        <v>0</v>
      </c>
      <c r="O17" s="60">
        <f t="shared" si="1"/>
        <v>0</v>
      </c>
      <c r="P17" s="60">
        <f t="shared" si="1"/>
        <v>0</v>
      </c>
      <c r="Q17" s="60">
        <f t="shared" si="1"/>
        <v>0</v>
      </c>
      <c r="R17" s="60">
        <f t="shared" si="1"/>
        <v>0</v>
      </c>
      <c r="S17" s="60">
        <f t="shared" si="1"/>
        <v>0</v>
      </c>
      <c r="T17" s="60">
        <f t="shared" si="1"/>
        <v>0</v>
      </c>
      <c r="U17" s="60">
        <f t="shared" si="1"/>
        <v>0</v>
      </c>
      <c r="V17" s="60">
        <f t="shared" si="1"/>
        <v>0</v>
      </c>
      <c r="W17" s="6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ref="E19:E30" si="4">SUM(F19:W19)</f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4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4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4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4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4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4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4"/>
        <v>0</v>
      </c>
      <c r="F26" s="51">
        <f>SUM(F19:F25)</f>
        <v>0</v>
      </c>
      <c r="G26" s="52">
        <f t="shared" ref="G26:W26" si="5">SUM(G19:G25)</f>
        <v>0</v>
      </c>
      <c r="H26" s="53">
        <f t="shared" si="5"/>
        <v>0</v>
      </c>
      <c r="I26" s="53">
        <f t="shared" si="5"/>
        <v>0</v>
      </c>
      <c r="J26" s="53">
        <f t="shared" si="5"/>
        <v>0</v>
      </c>
      <c r="K26" s="53">
        <f t="shared" si="5"/>
        <v>0</v>
      </c>
      <c r="L26" s="53">
        <f t="shared" si="5"/>
        <v>0</v>
      </c>
      <c r="M26" s="53">
        <f t="shared" si="5"/>
        <v>0</v>
      </c>
      <c r="N26" s="53">
        <f t="shared" si="5"/>
        <v>0</v>
      </c>
      <c r="O26" s="53">
        <f t="shared" si="5"/>
        <v>0</v>
      </c>
      <c r="P26" s="53">
        <f t="shared" si="5"/>
        <v>0</v>
      </c>
      <c r="Q26" s="53">
        <f t="shared" si="5"/>
        <v>0</v>
      </c>
      <c r="R26" s="53">
        <f t="shared" si="5"/>
        <v>0</v>
      </c>
      <c r="S26" s="53">
        <f t="shared" si="5"/>
        <v>0</v>
      </c>
      <c r="T26" s="53">
        <f t="shared" si="5"/>
        <v>0</v>
      </c>
      <c r="U26" s="53">
        <f t="shared" si="5"/>
        <v>0</v>
      </c>
      <c r="V26" s="53">
        <f t="shared" si="5"/>
        <v>0</v>
      </c>
      <c r="W26" s="54">
        <f t="shared" si="5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4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4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4"/>
        <v>0</v>
      </c>
      <c r="F29" s="51">
        <f>F27+F28</f>
        <v>0</v>
      </c>
      <c r="G29" s="52">
        <f t="shared" ref="G29:W29" si="6">G27+G28</f>
        <v>0</v>
      </c>
      <c r="H29" s="53">
        <f t="shared" si="6"/>
        <v>0</v>
      </c>
      <c r="I29" s="53">
        <f t="shared" si="6"/>
        <v>0</v>
      </c>
      <c r="J29" s="53">
        <f t="shared" si="6"/>
        <v>0</v>
      </c>
      <c r="K29" s="53">
        <f t="shared" si="6"/>
        <v>0</v>
      </c>
      <c r="L29" s="53">
        <f t="shared" si="6"/>
        <v>0</v>
      </c>
      <c r="M29" s="53">
        <f t="shared" si="6"/>
        <v>0</v>
      </c>
      <c r="N29" s="53">
        <f t="shared" si="6"/>
        <v>0</v>
      </c>
      <c r="O29" s="53">
        <f t="shared" si="6"/>
        <v>0</v>
      </c>
      <c r="P29" s="53">
        <f t="shared" si="6"/>
        <v>0</v>
      </c>
      <c r="Q29" s="53">
        <f t="shared" si="6"/>
        <v>0</v>
      </c>
      <c r="R29" s="53">
        <f t="shared" si="6"/>
        <v>0</v>
      </c>
      <c r="S29" s="53">
        <f t="shared" si="6"/>
        <v>0</v>
      </c>
      <c r="T29" s="53">
        <f t="shared" si="6"/>
        <v>0</v>
      </c>
      <c r="U29" s="53">
        <f t="shared" si="6"/>
        <v>0</v>
      </c>
      <c r="V29" s="53">
        <f t="shared" si="6"/>
        <v>0</v>
      </c>
      <c r="W29" s="54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4"/>
        <v>0</v>
      </c>
      <c r="F30" s="58">
        <f>F26-F29</f>
        <v>0</v>
      </c>
      <c r="G30" s="59">
        <f t="shared" ref="G30:W30" si="7">G26-G29</f>
        <v>0</v>
      </c>
      <c r="H30" s="60">
        <f t="shared" si="7"/>
        <v>0</v>
      </c>
      <c r="I30" s="60">
        <f t="shared" si="7"/>
        <v>0</v>
      </c>
      <c r="J30" s="60">
        <f t="shared" si="7"/>
        <v>0</v>
      </c>
      <c r="K30" s="60">
        <f t="shared" si="7"/>
        <v>0</v>
      </c>
      <c r="L30" s="60">
        <f t="shared" si="7"/>
        <v>0</v>
      </c>
      <c r="M30" s="60">
        <f t="shared" si="7"/>
        <v>0</v>
      </c>
      <c r="N30" s="60">
        <f t="shared" si="7"/>
        <v>0</v>
      </c>
      <c r="O30" s="60">
        <f t="shared" si="7"/>
        <v>0</v>
      </c>
      <c r="P30" s="60">
        <f t="shared" si="7"/>
        <v>0</v>
      </c>
      <c r="Q30" s="60">
        <f t="shared" si="7"/>
        <v>0</v>
      </c>
      <c r="R30" s="60">
        <f t="shared" si="7"/>
        <v>0</v>
      </c>
      <c r="S30" s="60">
        <f t="shared" si="7"/>
        <v>0</v>
      </c>
      <c r="T30" s="60">
        <f t="shared" si="7"/>
        <v>0</v>
      </c>
      <c r="U30" s="60">
        <f t="shared" si="7"/>
        <v>0</v>
      </c>
      <c r="V30" s="60">
        <f t="shared" si="7"/>
        <v>0</v>
      </c>
      <c r="W30" s="61">
        <f t="shared" si="7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ref="E31:E42" si="8">SUM(F31:W31)</f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8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8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8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8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8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8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8"/>
        <v>0</v>
      </c>
      <c r="F38" s="51">
        <f>SUM(F31:F37)</f>
        <v>0</v>
      </c>
      <c r="G38" s="52">
        <f t="shared" ref="G38:W38" si="9">SUM(G31:G37)</f>
        <v>0</v>
      </c>
      <c r="H38" s="53">
        <f t="shared" si="9"/>
        <v>0</v>
      </c>
      <c r="I38" s="53">
        <f t="shared" si="9"/>
        <v>0</v>
      </c>
      <c r="J38" s="53">
        <f t="shared" si="9"/>
        <v>0</v>
      </c>
      <c r="K38" s="53">
        <f t="shared" si="9"/>
        <v>0</v>
      </c>
      <c r="L38" s="53">
        <f t="shared" si="9"/>
        <v>0</v>
      </c>
      <c r="M38" s="53">
        <f t="shared" si="9"/>
        <v>0</v>
      </c>
      <c r="N38" s="53">
        <f t="shared" si="9"/>
        <v>0</v>
      </c>
      <c r="O38" s="53">
        <f t="shared" si="9"/>
        <v>0</v>
      </c>
      <c r="P38" s="53">
        <f t="shared" si="9"/>
        <v>0</v>
      </c>
      <c r="Q38" s="53">
        <f t="shared" si="9"/>
        <v>0</v>
      </c>
      <c r="R38" s="53">
        <f t="shared" si="9"/>
        <v>0</v>
      </c>
      <c r="S38" s="53">
        <f t="shared" si="9"/>
        <v>0</v>
      </c>
      <c r="T38" s="53">
        <f t="shared" si="9"/>
        <v>0</v>
      </c>
      <c r="U38" s="53">
        <f t="shared" si="9"/>
        <v>0</v>
      </c>
      <c r="V38" s="53">
        <f t="shared" si="9"/>
        <v>0</v>
      </c>
      <c r="W38" s="54">
        <f t="shared" si="9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8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8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8"/>
        <v>0</v>
      </c>
      <c r="F41" s="51">
        <f>F39+F40</f>
        <v>0</v>
      </c>
      <c r="G41" s="52">
        <f>G39+G40</f>
        <v>0</v>
      </c>
      <c r="H41" s="53">
        <f t="shared" ref="H41:W41" si="10">H39+H40</f>
        <v>0</v>
      </c>
      <c r="I41" s="53">
        <f t="shared" si="10"/>
        <v>0</v>
      </c>
      <c r="J41" s="53">
        <f t="shared" si="10"/>
        <v>0</v>
      </c>
      <c r="K41" s="53">
        <f t="shared" si="10"/>
        <v>0</v>
      </c>
      <c r="L41" s="53">
        <f t="shared" si="10"/>
        <v>0</v>
      </c>
      <c r="M41" s="53">
        <f t="shared" si="10"/>
        <v>0</v>
      </c>
      <c r="N41" s="53">
        <f t="shared" si="10"/>
        <v>0</v>
      </c>
      <c r="O41" s="53">
        <f t="shared" si="10"/>
        <v>0</v>
      </c>
      <c r="P41" s="53">
        <f t="shared" si="10"/>
        <v>0</v>
      </c>
      <c r="Q41" s="53">
        <f t="shared" si="10"/>
        <v>0</v>
      </c>
      <c r="R41" s="53">
        <f t="shared" si="10"/>
        <v>0</v>
      </c>
      <c r="S41" s="53">
        <f t="shared" si="10"/>
        <v>0</v>
      </c>
      <c r="T41" s="53">
        <f t="shared" si="10"/>
        <v>0</v>
      </c>
      <c r="U41" s="53">
        <f t="shared" si="10"/>
        <v>0</v>
      </c>
      <c r="V41" s="53">
        <f t="shared" si="10"/>
        <v>0</v>
      </c>
      <c r="W41" s="54">
        <f t="shared" si="10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8"/>
        <v>0</v>
      </c>
      <c r="F42" s="58">
        <f>F38-F41</f>
        <v>0</v>
      </c>
      <c r="G42" s="59">
        <f t="shared" ref="G42:W42" si="11">G38-G41</f>
        <v>0</v>
      </c>
      <c r="H42" s="60">
        <f t="shared" si="11"/>
        <v>0</v>
      </c>
      <c r="I42" s="60">
        <f t="shared" si="11"/>
        <v>0</v>
      </c>
      <c r="J42" s="60">
        <f t="shared" si="11"/>
        <v>0</v>
      </c>
      <c r="K42" s="60">
        <f t="shared" si="11"/>
        <v>0</v>
      </c>
      <c r="L42" s="60">
        <f t="shared" si="11"/>
        <v>0</v>
      </c>
      <c r="M42" s="60">
        <f t="shared" si="11"/>
        <v>0</v>
      </c>
      <c r="N42" s="60">
        <f t="shared" si="11"/>
        <v>0</v>
      </c>
      <c r="O42" s="60">
        <f t="shared" si="11"/>
        <v>0</v>
      </c>
      <c r="P42" s="60">
        <f t="shared" si="11"/>
        <v>0</v>
      </c>
      <c r="Q42" s="60">
        <f t="shared" si="11"/>
        <v>0</v>
      </c>
      <c r="R42" s="60">
        <f t="shared" si="11"/>
        <v>0</v>
      </c>
      <c r="S42" s="60">
        <f t="shared" si="11"/>
        <v>0</v>
      </c>
      <c r="T42" s="60">
        <f t="shared" si="11"/>
        <v>0</v>
      </c>
      <c r="U42" s="60">
        <f t="shared" si="11"/>
        <v>0</v>
      </c>
      <c r="V42" s="60">
        <f t="shared" si="11"/>
        <v>0</v>
      </c>
      <c r="W42" s="61">
        <f t="shared" si="11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s="44" customFormat="1" ht="14.1" customHeight="1">
      <c r="E43" s="46"/>
    </row>
    <row r="44" spans="1:232" s="44" customFormat="1" ht="14.1" customHeight="1">
      <c r="E44" s="45"/>
    </row>
    <row r="45" spans="1:232" s="44" customFormat="1" ht="14.1" customHeight="1">
      <c r="E45" s="45"/>
    </row>
    <row r="46" spans="1:232" s="44" customFormat="1" ht="14.1" customHeight="1">
      <c r="E46" s="45"/>
    </row>
    <row r="47" spans="1:232" s="44" customFormat="1" ht="14.1" customHeight="1">
      <c r="E47" s="45"/>
    </row>
    <row r="48" spans="1:232" s="44" customFormat="1" ht="14.1" customHeight="1">
      <c r="E48" s="45"/>
    </row>
    <row r="49" spans="5:5" s="44" customFormat="1" ht="14.1" customHeight="1">
      <c r="E49" s="45"/>
    </row>
    <row r="50" spans="5:5" s="44" customFormat="1" ht="14.1" customHeight="1">
      <c r="E50" s="45"/>
    </row>
    <row r="51" spans="5:5" s="44" customFormat="1" ht="14.1" customHeight="1">
      <c r="E51" s="45"/>
    </row>
    <row r="52" spans="5:5" s="44" customFormat="1" ht="14.1" customHeight="1">
      <c r="E52" s="45"/>
    </row>
    <row r="53" spans="5:5" s="44" customFormat="1" ht="14.1" customHeight="1">
      <c r="E53" s="45"/>
    </row>
    <row r="54" spans="5:5" s="44" customFormat="1" ht="14.1" customHeight="1">
      <c r="E54" s="45"/>
    </row>
    <row r="55" spans="5:5" s="44" customFormat="1" ht="14.1" customHeight="1">
      <c r="E55" s="45"/>
    </row>
    <row r="56" spans="5:5" s="44" customFormat="1" ht="14.1" customHeight="1">
      <c r="E56" s="45"/>
    </row>
    <row r="57" spans="5:5" s="44" customFormat="1" ht="14.1" customHeight="1">
      <c r="E57" s="45"/>
    </row>
    <row r="58" spans="5:5" s="44" customFormat="1" ht="14.1" customHeight="1">
      <c r="E58" s="45"/>
    </row>
    <row r="59" spans="5:5" s="44" customFormat="1" ht="14.1" customHeight="1">
      <c r="E59" s="45"/>
    </row>
    <row r="60" spans="5:5" s="44" customFormat="1" ht="14.1" customHeight="1">
      <c r="E60" s="45"/>
    </row>
    <row r="61" spans="5:5" s="44" customFormat="1" ht="14.1" customHeight="1">
      <c r="E61" s="45"/>
    </row>
    <row r="62" spans="5:5" s="44" customFormat="1" ht="14.1" customHeight="1">
      <c r="E62" s="45"/>
    </row>
    <row r="63" spans="5:5" s="44" customFormat="1" ht="14.1" customHeight="1">
      <c r="E63" s="45"/>
    </row>
    <row r="64" spans="5:5" s="44" customFormat="1" ht="14.1" customHeight="1">
      <c r="E64" s="45"/>
    </row>
    <row r="65" spans="5:5" s="44" customFormat="1" ht="14.1" customHeight="1">
      <c r="E65" s="45"/>
    </row>
    <row r="66" spans="5:5" s="44" customFormat="1" ht="14.1" customHeight="1">
      <c r="E66" s="45"/>
    </row>
    <row r="67" spans="5:5" s="44" customFormat="1" ht="14.1" customHeight="1">
      <c r="E67" s="45"/>
    </row>
    <row r="68" spans="5:5" s="44" customFormat="1" ht="14.1" customHeight="1">
      <c r="E68" s="45"/>
    </row>
    <row r="69" spans="5:5" s="44" customFormat="1" ht="14.1" customHeight="1">
      <c r="E69" s="45"/>
    </row>
    <row r="70" spans="5:5" s="44" customFormat="1" ht="14.1" customHeight="1">
      <c r="E70" s="45"/>
    </row>
    <row r="71" spans="5:5" s="44" customFormat="1" ht="14.1" customHeight="1">
      <c r="E71" s="45"/>
    </row>
    <row r="72" spans="5:5" s="44" customFormat="1" ht="14.1" customHeight="1">
      <c r="E72" s="45"/>
    </row>
    <row r="73" spans="5:5" s="44" customFormat="1" ht="14.1" customHeight="1">
      <c r="E73" s="45"/>
    </row>
    <row r="74" spans="5:5" s="44" customFormat="1" ht="14.1" customHeight="1">
      <c r="E74" s="45"/>
    </row>
    <row r="75" spans="5:5" s="44" customFormat="1" ht="14.1" customHeight="1">
      <c r="E75" s="45"/>
    </row>
    <row r="76" spans="5:5" s="44" customFormat="1" ht="14.1" customHeight="1">
      <c r="E76" s="45"/>
    </row>
    <row r="77" spans="5:5" s="44" customFormat="1" ht="14.1" customHeight="1">
      <c r="E77" s="45"/>
    </row>
    <row r="78" spans="5:5" s="44" customFormat="1" ht="14.1" customHeight="1">
      <c r="E78" s="45"/>
    </row>
    <row r="79" spans="5:5" s="44" customFormat="1" ht="14.1" customHeight="1">
      <c r="E79" s="45"/>
    </row>
    <row r="80" spans="5:5" s="44" customFormat="1" ht="14.1" customHeight="1">
      <c r="E80" s="45"/>
    </row>
    <row r="81" spans="5:5" s="44" customFormat="1" ht="14.1" customHeight="1">
      <c r="E81" s="45"/>
    </row>
    <row r="82" spans="5:5" s="44" customFormat="1" ht="14.1" customHeight="1">
      <c r="E82" s="45"/>
    </row>
    <row r="83" spans="5:5" s="44" customFormat="1" ht="14.1" customHeight="1">
      <c r="E83" s="45"/>
    </row>
    <row r="84" spans="5:5" s="44" customFormat="1" ht="14.1" customHeight="1">
      <c r="E84" s="45"/>
    </row>
    <row r="85" spans="5:5" s="44" customFormat="1" ht="14.1" customHeight="1">
      <c r="E85" s="45"/>
    </row>
    <row r="86" spans="5:5" s="44" customFormat="1" ht="14.1" customHeight="1">
      <c r="E86" s="45"/>
    </row>
    <row r="87" spans="5:5" s="44" customFormat="1" ht="14.1" customHeight="1">
      <c r="E87" s="45"/>
    </row>
    <row r="88" spans="5:5" s="44" customFormat="1" ht="14.1" customHeight="1">
      <c r="E88" s="45"/>
    </row>
    <row r="89" spans="5:5" s="44" customFormat="1" ht="14.1" customHeight="1">
      <c r="E89" s="45"/>
    </row>
    <row r="90" spans="5:5" s="44" customFormat="1" ht="14.1" customHeight="1">
      <c r="E90" s="45"/>
    </row>
    <row r="91" spans="5:5" s="44" customFormat="1" ht="14.1" customHeight="1">
      <c r="E91" s="45"/>
    </row>
    <row r="92" spans="5:5" s="44" customFormat="1" ht="14.1" customHeight="1">
      <c r="E92" s="45"/>
    </row>
    <row r="93" spans="5:5" s="44" customFormat="1" ht="14.1" customHeight="1">
      <c r="E93" s="45"/>
    </row>
    <row r="94" spans="5:5" s="44" customFormat="1" ht="14.1" customHeight="1">
      <c r="E94" s="45"/>
    </row>
    <row r="95" spans="5:5" s="44" customFormat="1" ht="14.1" customHeight="1">
      <c r="E95" s="45"/>
    </row>
    <row r="96" spans="5:5" s="44" customFormat="1" ht="14.1" customHeight="1">
      <c r="E96" s="45"/>
    </row>
    <row r="97" spans="5:5" s="44" customFormat="1" ht="14.1" customHeight="1">
      <c r="E97" s="45"/>
    </row>
    <row r="98" spans="5:5" s="44" customFormat="1" ht="14.1" customHeight="1">
      <c r="E98" s="45"/>
    </row>
    <row r="99" spans="5:5" s="44" customFormat="1" ht="14.1" customHeight="1">
      <c r="E99" s="45"/>
    </row>
    <row r="100" spans="5:5" s="44" customFormat="1" ht="14.1" customHeight="1">
      <c r="E100" s="45"/>
    </row>
    <row r="101" spans="5:5" s="44" customFormat="1" ht="14.1" customHeight="1">
      <c r="E101" s="45"/>
    </row>
    <row r="102" spans="5:5" s="44" customFormat="1" ht="14.1" customHeight="1">
      <c r="E102" s="45"/>
    </row>
    <row r="103" spans="5:5" s="44" customFormat="1" ht="14.1" customHeight="1">
      <c r="E103" s="45"/>
    </row>
    <row r="104" spans="5:5" s="44" customFormat="1" ht="14.1" customHeight="1">
      <c r="E104" s="45"/>
    </row>
    <row r="105" spans="5:5" s="44" customFormat="1" ht="14.1" customHeight="1">
      <c r="E105" s="45"/>
    </row>
    <row r="106" spans="5:5" s="44" customFormat="1" ht="14.1" customHeight="1">
      <c r="E106" s="45"/>
    </row>
    <row r="107" spans="5:5" s="44" customFormat="1" ht="14.1" customHeight="1">
      <c r="E107" s="45"/>
    </row>
    <row r="108" spans="5:5" s="44" customFormat="1" ht="14.1" customHeight="1">
      <c r="E108" s="45"/>
    </row>
    <row r="109" spans="5:5" s="44" customFormat="1" ht="14.1" customHeight="1">
      <c r="E109" s="45"/>
    </row>
    <row r="110" spans="5:5" s="44" customFormat="1" ht="14.1" customHeight="1">
      <c r="E110" s="45"/>
    </row>
    <row r="111" spans="5:5" s="44" customFormat="1" ht="14.1" customHeight="1">
      <c r="E111" s="45"/>
    </row>
    <row r="112" spans="5:5" s="44" customFormat="1" ht="14.1" customHeight="1">
      <c r="E112" s="45"/>
    </row>
    <row r="113" spans="5:5" s="44" customFormat="1" ht="14.1" customHeight="1">
      <c r="E113" s="45"/>
    </row>
    <row r="114" spans="5:5" s="44" customFormat="1" ht="14.1" customHeight="1">
      <c r="E114" s="45"/>
    </row>
    <row r="115" spans="5:5" s="44" customFormat="1" ht="14.1" customHeight="1">
      <c r="E115" s="45"/>
    </row>
    <row r="116" spans="5:5" s="44" customFormat="1" ht="14.1" customHeight="1">
      <c r="E116" s="45"/>
    </row>
    <row r="117" spans="5:5" s="44" customFormat="1" ht="14.1" customHeight="1">
      <c r="E117" s="45"/>
    </row>
    <row r="118" spans="5:5" s="44" customFormat="1" ht="14.1" customHeight="1">
      <c r="E118" s="45"/>
    </row>
    <row r="119" spans="5:5" s="44" customFormat="1" ht="14.1" customHeight="1">
      <c r="E119" s="45"/>
    </row>
    <row r="120" spans="5:5" s="44" customFormat="1" ht="14.1" customHeight="1">
      <c r="E120" s="45"/>
    </row>
    <row r="121" spans="5:5" s="44" customFormat="1" ht="14.1" customHeight="1">
      <c r="E121" s="45"/>
    </row>
    <row r="122" spans="5:5" s="44" customFormat="1" ht="14.1" customHeight="1">
      <c r="E122" s="45"/>
    </row>
    <row r="123" spans="5:5" s="44" customFormat="1" ht="14.1" customHeight="1">
      <c r="E123" s="45"/>
    </row>
    <row r="124" spans="5:5" s="44" customFormat="1" ht="14.1" customHeight="1">
      <c r="E124" s="45"/>
    </row>
    <row r="125" spans="5:5" s="44" customFormat="1" ht="14.1" customHeight="1">
      <c r="E125" s="45"/>
    </row>
    <row r="126" spans="5:5" s="44" customFormat="1" ht="14.1" customHeight="1">
      <c r="E126" s="45"/>
    </row>
    <row r="127" spans="5:5" s="44" customFormat="1" ht="14.1" customHeight="1">
      <c r="E127" s="45"/>
    </row>
    <row r="128" spans="5:5" s="44" customFormat="1" ht="14.1" customHeight="1">
      <c r="E128" s="45"/>
    </row>
    <row r="129" spans="5:5" s="44" customFormat="1" ht="14.1" customHeight="1">
      <c r="E129" s="45"/>
    </row>
    <row r="130" spans="5:5" s="44" customFormat="1" ht="14.1" customHeight="1">
      <c r="E130" s="45"/>
    </row>
    <row r="131" spans="5:5" s="44" customFormat="1" ht="14.1" customHeight="1">
      <c r="E131" s="45"/>
    </row>
    <row r="132" spans="5:5" s="44" customFormat="1" ht="14.1" customHeight="1">
      <c r="E132" s="45"/>
    </row>
    <row r="133" spans="5:5" s="44" customFormat="1" ht="14.1" customHeight="1">
      <c r="E133" s="45"/>
    </row>
    <row r="134" spans="5:5" s="44" customFormat="1" ht="14.1" customHeight="1">
      <c r="E134" s="45"/>
    </row>
    <row r="135" spans="5:5" s="44" customFormat="1" ht="14.1" customHeight="1">
      <c r="E135" s="45"/>
    </row>
    <row r="136" spans="5:5" s="44" customFormat="1" ht="14.1" customHeight="1">
      <c r="E136" s="45"/>
    </row>
    <row r="137" spans="5:5" s="44" customFormat="1" ht="14.1" customHeight="1">
      <c r="E137" s="45"/>
    </row>
    <row r="138" spans="5:5" s="44" customFormat="1" ht="14.1" customHeight="1">
      <c r="E138" s="45"/>
    </row>
    <row r="139" spans="5:5" s="44" customFormat="1" ht="14.1" customHeight="1">
      <c r="E139" s="45"/>
    </row>
    <row r="140" spans="5:5" s="44" customFormat="1" ht="14.1" customHeight="1">
      <c r="E140" s="45"/>
    </row>
    <row r="141" spans="5:5" s="44" customFormat="1" ht="14.1" customHeight="1">
      <c r="E141" s="45"/>
    </row>
    <row r="142" spans="5:5" s="44" customFormat="1" ht="14.1" customHeight="1">
      <c r="E142" s="45"/>
    </row>
    <row r="143" spans="5:5" s="44" customFormat="1" ht="14.1" customHeight="1">
      <c r="E143" s="45"/>
    </row>
    <row r="144" spans="5:5" s="44" customFormat="1" ht="14.1" customHeight="1">
      <c r="E144" s="45"/>
    </row>
    <row r="145" spans="5:5" s="44" customFormat="1" ht="14.1" customHeight="1">
      <c r="E145" s="45"/>
    </row>
    <row r="146" spans="5:5" s="44" customFormat="1" ht="14.1" customHeight="1">
      <c r="E146" s="45"/>
    </row>
    <row r="147" spans="5:5" s="44" customFormat="1" ht="14.1" customHeight="1">
      <c r="E147" s="45"/>
    </row>
    <row r="148" spans="5:5" s="44" customFormat="1" ht="14.1" customHeight="1">
      <c r="E148" s="45"/>
    </row>
    <row r="149" spans="5:5" s="44" customFormat="1" ht="14.1" customHeight="1">
      <c r="E149" s="45"/>
    </row>
    <row r="150" spans="5:5" s="44" customFormat="1" ht="14.1" customHeight="1">
      <c r="E150" s="45"/>
    </row>
    <row r="151" spans="5:5" s="44" customFormat="1" ht="14.1" customHeight="1">
      <c r="E151" s="45"/>
    </row>
    <row r="152" spans="5:5" s="44" customFormat="1" ht="14.1" customHeight="1">
      <c r="E152" s="45"/>
    </row>
    <row r="153" spans="5:5" s="44" customFormat="1" ht="14.1" customHeight="1">
      <c r="E153" s="45"/>
    </row>
    <row r="154" spans="5:5" s="44" customFormat="1" ht="14.1" customHeight="1">
      <c r="E154" s="45"/>
    </row>
    <row r="155" spans="5:5" s="44" customFormat="1" ht="14.1" customHeight="1">
      <c r="E155" s="45"/>
    </row>
    <row r="156" spans="5:5" s="44" customFormat="1" ht="14.1" customHeight="1">
      <c r="E156" s="45"/>
    </row>
    <row r="157" spans="5:5" s="44" customFormat="1" ht="14.1" customHeight="1">
      <c r="E157" s="45"/>
    </row>
    <row r="158" spans="5:5" s="44" customFormat="1" ht="14.1" customHeight="1">
      <c r="E158" s="45"/>
    </row>
    <row r="159" spans="5:5" s="44" customFormat="1" ht="14.1" customHeight="1">
      <c r="E159" s="45"/>
    </row>
    <row r="160" spans="5:5" s="44" customFormat="1" ht="14.1" customHeight="1">
      <c r="E160" s="45"/>
    </row>
    <row r="161" spans="5:5" s="44" customFormat="1" ht="14.1" customHeight="1">
      <c r="E161" s="45"/>
    </row>
    <row r="162" spans="5:5" s="44" customFormat="1" ht="14.1" customHeight="1">
      <c r="E162" s="45"/>
    </row>
    <row r="163" spans="5:5" s="44" customFormat="1" ht="14.1" customHeight="1">
      <c r="E163" s="45"/>
    </row>
    <row r="164" spans="5:5" s="44" customFormat="1" ht="14.1" customHeight="1">
      <c r="E164" s="45"/>
    </row>
    <row r="165" spans="5:5" s="44" customFormat="1" ht="14.1" customHeight="1">
      <c r="E165" s="45"/>
    </row>
    <row r="166" spans="5:5" s="44" customFormat="1" ht="14.1" customHeight="1">
      <c r="E166" s="45"/>
    </row>
    <row r="167" spans="5:5" s="44" customFormat="1" ht="14.1" customHeight="1">
      <c r="E167" s="45"/>
    </row>
    <row r="168" spans="5:5" s="44" customFormat="1" ht="14.1" customHeight="1">
      <c r="E168" s="45"/>
    </row>
  </sheetData>
  <mergeCells count="14">
    <mergeCell ref="U1:W1"/>
    <mergeCell ref="U2:W2"/>
    <mergeCell ref="U3:W3"/>
    <mergeCell ref="A5:B5"/>
    <mergeCell ref="C5:D5"/>
    <mergeCell ref="B19:B30"/>
    <mergeCell ref="D1:Q1"/>
    <mergeCell ref="D2:Q2"/>
    <mergeCell ref="D3:Q3"/>
    <mergeCell ref="A31:A42"/>
    <mergeCell ref="B31:B42"/>
    <mergeCell ref="A6:A17"/>
    <mergeCell ref="B6:B17"/>
    <mergeCell ref="A19:A30"/>
  </mergeCells>
  <phoneticPr fontId="0" type="noConversion"/>
  <pageMargins left="0.17" right="0.16" top="0.57999999999999996" bottom="0.38" header="0.3" footer="0.17"/>
  <pageSetup paperSize="9" scale="68" fitToHeight="10" orientation="landscape" r:id="rId1"/>
  <headerFooter alignWithMargins="0">
    <oddFooter>&amp;L&amp;7&amp;F, &amp;A&amp;C&amp;8&amp;P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D168"/>
  <sheetViews>
    <sheetView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  <col min="24" max="24" width="9.28515625" customWidth="1"/>
  </cols>
  <sheetData>
    <row r="1" spans="1:238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23</v>
      </c>
      <c r="V1" s="95"/>
      <c r="W1" s="95"/>
      <c r="X1" s="28"/>
    </row>
    <row r="2" spans="1:238" ht="21.75" customHeight="1">
      <c r="A2" s="17"/>
      <c r="B2" s="17"/>
      <c r="C2" s="17"/>
      <c r="D2" s="106" t="s">
        <v>16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45180</v>
      </c>
      <c r="V2" s="96"/>
      <c r="W2" s="96"/>
      <c r="X2" s="28"/>
    </row>
    <row r="3" spans="1:238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  <c r="X3" s="8"/>
    </row>
    <row r="4" spans="1:238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 s="5"/>
      <c r="R4" s="5"/>
      <c r="S4" s="5"/>
      <c r="T4" s="5"/>
      <c r="U4" s="5"/>
      <c r="V4" s="5"/>
      <c r="W4"/>
      <c r="X4" s="7"/>
      <c r="Y4" s="29"/>
    </row>
    <row r="5" spans="1:238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</row>
    <row r="6" spans="1:238" s="4" customFormat="1" ht="14.1" customHeight="1">
      <c r="A6" s="92" t="s">
        <v>0</v>
      </c>
      <c r="B6" s="102" t="s">
        <v>16</v>
      </c>
      <c r="C6" s="38" t="s">
        <v>38</v>
      </c>
      <c r="D6" s="23" t="s">
        <v>4</v>
      </c>
      <c r="E6" s="55">
        <f t="shared" ref="E6:E17" si="0">SUM(F6:W6)</f>
        <v>0</v>
      </c>
      <c r="F6" s="67">
        <f>SUMIF($D$19:$D$300,$D6,F$19:F$300)</f>
        <v>0</v>
      </c>
      <c r="G6" s="68">
        <f t="shared" ref="G6:V17" si="1">SUMIF($D$19:$D$300,$D6,G$19:G$300)</f>
        <v>0</v>
      </c>
      <c r="H6" s="68">
        <f t="shared" si="1"/>
        <v>0</v>
      </c>
      <c r="I6" s="68">
        <f t="shared" si="1"/>
        <v>0</v>
      </c>
      <c r="J6" s="68">
        <f t="shared" si="1"/>
        <v>0</v>
      </c>
      <c r="K6" s="68">
        <f t="shared" si="1"/>
        <v>0</v>
      </c>
      <c r="L6" s="68">
        <f t="shared" si="1"/>
        <v>0</v>
      </c>
      <c r="M6" s="68">
        <f t="shared" si="1"/>
        <v>0</v>
      </c>
      <c r="N6" s="68">
        <f t="shared" si="1"/>
        <v>0</v>
      </c>
      <c r="O6" s="68">
        <f t="shared" si="1"/>
        <v>0</v>
      </c>
      <c r="P6" s="68">
        <f t="shared" si="1"/>
        <v>0</v>
      </c>
      <c r="Q6" s="68">
        <f t="shared" si="1"/>
        <v>0</v>
      </c>
      <c r="R6" s="68">
        <f t="shared" si="1"/>
        <v>0</v>
      </c>
      <c r="S6" s="68">
        <f t="shared" si="1"/>
        <v>0</v>
      </c>
      <c r="T6" s="68">
        <f t="shared" si="1"/>
        <v>0</v>
      </c>
      <c r="U6" s="68">
        <f t="shared" si="1"/>
        <v>0</v>
      </c>
      <c r="V6" s="68">
        <f t="shared" si="1"/>
        <v>0</v>
      </c>
      <c r="W6" s="69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</row>
    <row r="7" spans="1:238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7">
        <f t="shared" ref="F7:F17" si="3">SUMIF($D$19:$D$300,$D7,F$19:F$300)</f>
        <v>0</v>
      </c>
      <c r="G7" s="68">
        <f t="shared" si="1"/>
        <v>0</v>
      </c>
      <c r="H7" s="68">
        <f t="shared" si="1"/>
        <v>0</v>
      </c>
      <c r="I7" s="68">
        <f t="shared" si="1"/>
        <v>0</v>
      </c>
      <c r="J7" s="68">
        <f t="shared" si="1"/>
        <v>0</v>
      </c>
      <c r="K7" s="68">
        <f t="shared" si="1"/>
        <v>0</v>
      </c>
      <c r="L7" s="68">
        <f t="shared" si="1"/>
        <v>0</v>
      </c>
      <c r="M7" s="68">
        <f t="shared" si="1"/>
        <v>0</v>
      </c>
      <c r="N7" s="68">
        <f t="shared" si="1"/>
        <v>0</v>
      </c>
      <c r="O7" s="68">
        <f t="shared" si="1"/>
        <v>0</v>
      </c>
      <c r="P7" s="68">
        <f t="shared" si="1"/>
        <v>0</v>
      </c>
      <c r="Q7" s="68">
        <f t="shared" si="1"/>
        <v>0</v>
      </c>
      <c r="R7" s="68">
        <f t="shared" si="1"/>
        <v>0</v>
      </c>
      <c r="S7" s="68">
        <f t="shared" si="1"/>
        <v>0</v>
      </c>
      <c r="T7" s="68">
        <f t="shared" si="1"/>
        <v>0</v>
      </c>
      <c r="U7" s="68">
        <f t="shared" si="1"/>
        <v>0</v>
      </c>
      <c r="V7" s="68">
        <f t="shared" si="1"/>
        <v>0</v>
      </c>
      <c r="W7" s="69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</row>
    <row r="8" spans="1:238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7">
        <f t="shared" si="3"/>
        <v>0</v>
      </c>
      <c r="G8" s="68">
        <f t="shared" si="1"/>
        <v>0</v>
      </c>
      <c r="H8" s="68">
        <f t="shared" si="1"/>
        <v>0</v>
      </c>
      <c r="I8" s="68">
        <f t="shared" si="1"/>
        <v>0</v>
      </c>
      <c r="J8" s="68">
        <f t="shared" si="1"/>
        <v>0</v>
      </c>
      <c r="K8" s="68">
        <f t="shared" si="1"/>
        <v>0</v>
      </c>
      <c r="L8" s="68">
        <f t="shared" si="1"/>
        <v>0</v>
      </c>
      <c r="M8" s="68">
        <f t="shared" si="1"/>
        <v>0</v>
      </c>
      <c r="N8" s="68">
        <f t="shared" si="1"/>
        <v>0</v>
      </c>
      <c r="O8" s="68">
        <f t="shared" si="1"/>
        <v>0</v>
      </c>
      <c r="P8" s="68">
        <f t="shared" si="1"/>
        <v>0</v>
      </c>
      <c r="Q8" s="68">
        <f t="shared" si="1"/>
        <v>0</v>
      </c>
      <c r="R8" s="68">
        <f t="shared" si="1"/>
        <v>0</v>
      </c>
      <c r="S8" s="68">
        <f t="shared" si="1"/>
        <v>0</v>
      </c>
      <c r="T8" s="68">
        <f t="shared" si="1"/>
        <v>0</v>
      </c>
      <c r="U8" s="68">
        <f t="shared" si="1"/>
        <v>0</v>
      </c>
      <c r="V8" s="68">
        <f t="shared" si="1"/>
        <v>0</v>
      </c>
      <c r="W8" s="69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</row>
    <row r="9" spans="1:238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51">
        <f t="shared" si="3"/>
        <v>0</v>
      </c>
      <c r="G9" s="52">
        <f t="shared" si="1"/>
        <v>0</v>
      </c>
      <c r="H9" s="52">
        <f t="shared" si="1"/>
        <v>0</v>
      </c>
      <c r="I9" s="52">
        <f t="shared" si="1"/>
        <v>0</v>
      </c>
      <c r="J9" s="52">
        <f t="shared" si="1"/>
        <v>0</v>
      </c>
      <c r="K9" s="52">
        <f t="shared" si="1"/>
        <v>0</v>
      </c>
      <c r="L9" s="52">
        <f t="shared" si="1"/>
        <v>0</v>
      </c>
      <c r="M9" s="52">
        <f t="shared" si="1"/>
        <v>0</v>
      </c>
      <c r="N9" s="52">
        <f t="shared" si="1"/>
        <v>0</v>
      </c>
      <c r="O9" s="52">
        <f t="shared" si="1"/>
        <v>0</v>
      </c>
      <c r="P9" s="52">
        <f t="shared" si="1"/>
        <v>0</v>
      </c>
      <c r="Q9" s="52">
        <f t="shared" si="1"/>
        <v>0</v>
      </c>
      <c r="R9" s="52">
        <f t="shared" si="1"/>
        <v>0</v>
      </c>
      <c r="S9" s="52">
        <f t="shared" si="1"/>
        <v>0</v>
      </c>
      <c r="T9" s="52">
        <f t="shared" si="1"/>
        <v>0</v>
      </c>
      <c r="U9" s="52">
        <f t="shared" si="1"/>
        <v>0</v>
      </c>
      <c r="V9" s="52">
        <f t="shared" si="1"/>
        <v>0</v>
      </c>
      <c r="W9" s="54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</row>
    <row r="10" spans="1:238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51">
        <f t="shared" si="3"/>
        <v>0</v>
      </c>
      <c r="G10" s="52">
        <f t="shared" si="1"/>
        <v>0</v>
      </c>
      <c r="H10" s="52">
        <f t="shared" si="1"/>
        <v>0</v>
      </c>
      <c r="I10" s="52">
        <f t="shared" si="1"/>
        <v>0</v>
      </c>
      <c r="J10" s="52">
        <f t="shared" si="1"/>
        <v>0</v>
      </c>
      <c r="K10" s="52">
        <f t="shared" si="1"/>
        <v>0</v>
      </c>
      <c r="L10" s="52">
        <f t="shared" si="1"/>
        <v>0</v>
      </c>
      <c r="M10" s="52">
        <f t="shared" si="1"/>
        <v>0</v>
      </c>
      <c r="N10" s="52">
        <f t="shared" si="1"/>
        <v>0</v>
      </c>
      <c r="O10" s="52">
        <f t="shared" si="1"/>
        <v>0</v>
      </c>
      <c r="P10" s="52">
        <f t="shared" si="1"/>
        <v>0</v>
      </c>
      <c r="Q10" s="52">
        <f t="shared" si="1"/>
        <v>0</v>
      </c>
      <c r="R10" s="52">
        <f t="shared" si="1"/>
        <v>0</v>
      </c>
      <c r="S10" s="52">
        <f t="shared" si="1"/>
        <v>0</v>
      </c>
      <c r="T10" s="52">
        <f t="shared" si="1"/>
        <v>0</v>
      </c>
      <c r="U10" s="52">
        <f t="shared" si="1"/>
        <v>0</v>
      </c>
      <c r="V10" s="52">
        <f t="shared" si="1"/>
        <v>0</v>
      </c>
      <c r="W10" s="54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</row>
    <row r="11" spans="1:238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51">
        <f t="shared" si="3"/>
        <v>0</v>
      </c>
      <c r="G11" s="52">
        <f t="shared" si="1"/>
        <v>0</v>
      </c>
      <c r="H11" s="52">
        <f t="shared" si="1"/>
        <v>0</v>
      </c>
      <c r="I11" s="52">
        <f t="shared" si="1"/>
        <v>0</v>
      </c>
      <c r="J11" s="52">
        <f t="shared" si="1"/>
        <v>0</v>
      </c>
      <c r="K11" s="52">
        <f t="shared" si="1"/>
        <v>0</v>
      </c>
      <c r="L11" s="52">
        <f t="shared" si="1"/>
        <v>0</v>
      </c>
      <c r="M11" s="52">
        <f t="shared" si="1"/>
        <v>0</v>
      </c>
      <c r="N11" s="52">
        <f t="shared" si="1"/>
        <v>0</v>
      </c>
      <c r="O11" s="52">
        <f t="shared" si="1"/>
        <v>0</v>
      </c>
      <c r="P11" s="52">
        <f t="shared" si="1"/>
        <v>0</v>
      </c>
      <c r="Q11" s="52">
        <f t="shared" si="1"/>
        <v>0</v>
      </c>
      <c r="R11" s="52">
        <f t="shared" si="1"/>
        <v>0</v>
      </c>
      <c r="S11" s="52">
        <f t="shared" si="1"/>
        <v>0</v>
      </c>
      <c r="T11" s="52">
        <f t="shared" si="1"/>
        <v>0</v>
      </c>
      <c r="U11" s="52">
        <f t="shared" si="1"/>
        <v>0</v>
      </c>
      <c r="V11" s="52">
        <f t="shared" si="1"/>
        <v>0</v>
      </c>
      <c r="W11" s="54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</row>
    <row r="12" spans="1:238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51">
        <f t="shared" si="3"/>
        <v>0</v>
      </c>
      <c r="G12" s="52">
        <f t="shared" si="1"/>
        <v>0</v>
      </c>
      <c r="H12" s="52">
        <f t="shared" si="1"/>
        <v>0</v>
      </c>
      <c r="I12" s="52">
        <f t="shared" si="1"/>
        <v>0</v>
      </c>
      <c r="J12" s="52">
        <f t="shared" si="1"/>
        <v>0</v>
      </c>
      <c r="K12" s="52">
        <f t="shared" si="1"/>
        <v>0</v>
      </c>
      <c r="L12" s="52">
        <f t="shared" si="1"/>
        <v>0</v>
      </c>
      <c r="M12" s="52">
        <f t="shared" si="1"/>
        <v>0</v>
      </c>
      <c r="N12" s="52">
        <f t="shared" si="1"/>
        <v>0</v>
      </c>
      <c r="O12" s="52">
        <f t="shared" si="1"/>
        <v>0</v>
      </c>
      <c r="P12" s="52">
        <f t="shared" si="1"/>
        <v>0</v>
      </c>
      <c r="Q12" s="52">
        <f t="shared" si="1"/>
        <v>0</v>
      </c>
      <c r="R12" s="52">
        <f t="shared" si="1"/>
        <v>0</v>
      </c>
      <c r="S12" s="52">
        <f t="shared" si="1"/>
        <v>0</v>
      </c>
      <c r="T12" s="52">
        <f t="shared" si="1"/>
        <v>0</v>
      </c>
      <c r="U12" s="52">
        <f t="shared" si="1"/>
        <v>0</v>
      </c>
      <c r="V12" s="52">
        <f t="shared" si="1"/>
        <v>0</v>
      </c>
      <c r="W12" s="54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</row>
    <row r="13" spans="1:238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51">
        <f t="shared" si="3"/>
        <v>0</v>
      </c>
      <c r="G13" s="52">
        <f t="shared" si="1"/>
        <v>0</v>
      </c>
      <c r="H13" s="52">
        <f t="shared" si="1"/>
        <v>0</v>
      </c>
      <c r="I13" s="52">
        <f t="shared" si="1"/>
        <v>0</v>
      </c>
      <c r="J13" s="52">
        <f t="shared" si="1"/>
        <v>0</v>
      </c>
      <c r="K13" s="52">
        <f t="shared" si="1"/>
        <v>0</v>
      </c>
      <c r="L13" s="52">
        <f t="shared" si="1"/>
        <v>0</v>
      </c>
      <c r="M13" s="52">
        <f t="shared" si="1"/>
        <v>0</v>
      </c>
      <c r="N13" s="52">
        <f t="shared" si="1"/>
        <v>0</v>
      </c>
      <c r="O13" s="52">
        <f t="shared" si="1"/>
        <v>0</v>
      </c>
      <c r="P13" s="52">
        <f t="shared" si="1"/>
        <v>0</v>
      </c>
      <c r="Q13" s="52">
        <f t="shared" si="1"/>
        <v>0</v>
      </c>
      <c r="R13" s="52">
        <f t="shared" si="1"/>
        <v>0</v>
      </c>
      <c r="S13" s="52">
        <f t="shared" si="1"/>
        <v>0</v>
      </c>
      <c r="T13" s="52">
        <f t="shared" si="1"/>
        <v>0</v>
      </c>
      <c r="U13" s="52">
        <f t="shared" si="1"/>
        <v>0</v>
      </c>
      <c r="V13" s="52">
        <f t="shared" si="1"/>
        <v>0</v>
      </c>
      <c r="W13" s="54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</row>
    <row r="14" spans="1:238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51">
        <f t="shared" si="3"/>
        <v>0</v>
      </c>
      <c r="G14" s="52">
        <f t="shared" si="1"/>
        <v>0</v>
      </c>
      <c r="H14" s="52">
        <f t="shared" si="1"/>
        <v>0</v>
      </c>
      <c r="I14" s="52">
        <f t="shared" si="1"/>
        <v>0</v>
      </c>
      <c r="J14" s="52">
        <f t="shared" si="1"/>
        <v>0</v>
      </c>
      <c r="K14" s="52">
        <f t="shared" si="1"/>
        <v>0</v>
      </c>
      <c r="L14" s="52">
        <f t="shared" si="1"/>
        <v>0</v>
      </c>
      <c r="M14" s="52">
        <f t="shared" si="1"/>
        <v>0</v>
      </c>
      <c r="N14" s="52">
        <f t="shared" si="1"/>
        <v>0</v>
      </c>
      <c r="O14" s="52">
        <f t="shared" si="1"/>
        <v>0</v>
      </c>
      <c r="P14" s="52">
        <f t="shared" si="1"/>
        <v>0</v>
      </c>
      <c r="Q14" s="52">
        <f t="shared" si="1"/>
        <v>0</v>
      </c>
      <c r="R14" s="52">
        <f t="shared" si="1"/>
        <v>0</v>
      </c>
      <c r="S14" s="52">
        <f t="shared" si="1"/>
        <v>0</v>
      </c>
      <c r="T14" s="52">
        <f t="shared" si="1"/>
        <v>0</v>
      </c>
      <c r="U14" s="52">
        <f t="shared" si="1"/>
        <v>0</v>
      </c>
      <c r="V14" s="52">
        <f t="shared" si="1"/>
        <v>0</v>
      </c>
      <c r="W14" s="54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</row>
    <row r="15" spans="1:238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51">
        <f t="shared" si="3"/>
        <v>0</v>
      </c>
      <c r="G15" s="52">
        <f t="shared" si="1"/>
        <v>0</v>
      </c>
      <c r="H15" s="52">
        <f t="shared" si="1"/>
        <v>0</v>
      </c>
      <c r="I15" s="52">
        <f t="shared" si="1"/>
        <v>0</v>
      </c>
      <c r="J15" s="52">
        <f t="shared" si="1"/>
        <v>0</v>
      </c>
      <c r="K15" s="52">
        <f t="shared" si="1"/>
        <v>0</v>
      </c>
      <c r="L15" s="52">
        <f t="shared" si="1"/>
        <v>0</v>
      </c>
      <c r="M15" s="52">
        <f t="shared" si="1"/>
        <v>0</v>
      </c>
      <c r="N15" s="52">
        <f t="shared" si="1"/>
        <v>0</v>
      </c>
      <c r="O15" s="52">
        <f t="shared" si="1"/>
        <v>0</v>
      </c>
      <c r="P15" s="52">
        <f t="shared" si="1"/>
        <v>0</v>
      </c>
      <c r="Q15" s="52">
        <f t="shared" si="1"/>
        <v>0</v>
      </c>
      <c r="R15" s="52">
        <f t="shared" si="1"/>
        <v>0</v>
      </c>
      <c r="S15" s="52">
        <f t="shared" si="1"/>
        <v>0</v>
      </c>
      <c r="T15" s="52">
        <f t="shared" si="1"/>
        <v>0</v>
      </c>
      <c r="U15" s="52">
        <f t="shared" si="1"/>
        <v>0</v>
      </c>
      <c r="V15" s="52">
        <f t="shared" si="1"/>
        <v>0</v>
      </c>
      <c r="W15" s="54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</row>
    <row r="16" spans="1:238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51">
        <f t="shared" si="3"/>
        <v>0</v>
      </c>
      <c r="G16" s="52">
        <f t="shared" si="1"/>
        <v>0</v>
      </c>
      <c r="H16" s="53">
        <f t="shared" si="1"/>
        <v>0</v>
      </c>
      <c r="I16" s="53">
        <f t="shared" si="1"/>
        <v>0</v>
      </c>
      <c r="J16" s="53">
        <f t="shared" si="1"/>
        <v>0</v>
      </c>
      <c r="K16" s="53">
        <f t="shared" si="1"/>
        <v>0</v>
      </c>
      <c r="L16" s="53">
        <f t="shared" si="1"/>
        <v>0</v>
      </c>
      <c r="M16" s="53">
        <f t="shared" si="1"/>
        <v>0</v>
      </c>
      <c r="N16" s="53">
        <f t="shared" si="1"/>
        <v>0</v>
      </c>
      <c r="O16" s="53">
        <f t="shared" si="1"/>
        <v>0</v>
      </c>
      <c r="P16" s="53">
        <f t="shared" si="1"/>
        <v>0</v>
      </c>
      <c r="Q16" s="53">
        <f t="shared" si="1"/>
        <v>0</v>
      </c>
      <c r="R16" s="53">
        <f t="shared" si="1"/>
        <v>0</v>
      </c>
      <c r="S16" s="53">
        <f t="shared" si="1"/>
        <v>0</v>
      </c>
      <c r="T16" s="53">
        <f t="shared" si="1"/>
        <v>0</v>
      </c>
      <c r="U16" s="53">
        <f t="shared" si="1"/>
        <v>0</v>
      </c>
      <c r="V16" s="53">
        <f t="shared" si="1"/>
        <v>0</v>
      </c>
      <c r="W16" s="54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</row>
    <row r="17" spans="1:238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58">
        <f t="shared" si="3"/>
        <v>0</v>
      </c>
      <c r="G17" s="59">
        <f t="shared" si="1"/>
        <v>0</v>
      </c>
      <c r="H17" s="60">
        <f t="shared" si="1"/>
        <v>0</v>
      </c>
      <c r="I17" s="60">
        <f t="shared" si="1"/>
        <v>0</v>
      </c>
      <c r="J17" s="60">
        <f t="shared" si="1"/>
        <v>0</v>
      </c>
      <c r="K17" s="60">
        <f t="shared" si="1"/>
        <v>0</v>
      </c>
      <c r="L17" s="60">
        <f t="shared" si="1"/>
        <v>0</v>
      </c>
      <c r="M17" s="60">
        <f t="shared" si="1"/>
        <v>0</v>
      </c>
      <c r="N17" s="60">
        <f t="shared" si="1"/>
        <v>0</v>
      </c>
      <c r="O17" s="60">
        <f t="shared" si="1"/>
        <v>0</v>
      </c>
      <c r="P17" s="60">
        <f t="shared" si="1"/>
        <v>0</v>
      </c>
      <c r="Q17" s="60">
        <f t="shared" si="1"/>
        <v>0</v>
      </c>
      <c r="R17" s="60">
        <f t="shared" si="1"/>
        <v>0</v>
      </c>
      <c r="S17" s="60">
        <f t="shared" si="1"/>
        <v>0</v>
      </c>
      <c r="T17" s="60">
        <f t="shared" si="1"/>
        <v>0</v>
      </c>
      <c r="U17" s="60">
        <f t="shared" si="1"/>
        <v>0</v>
      </c>
      <c r="V17" s="60">
        <f t="shared" si="1"/>
        <v>0</v>
      </c>
      <c r="W17" s="6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</row>
    <row r="18" spans="1:238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8" s="4" customFormat="1" ht="14.1" customHeight="1">
      <c r="A19" s="92"/>
      <c r="B19" s="107"/>
      <c r="C19" s="38" t="s">
        <v>38</v>
      </c>
      <c r="D19" s="23" t="s">
        <v>4</v>
      </c>
      <c r="E19" s="55">
        <f t="shared" ref="E19:E30" si="4">SUM(F19:W19)</f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</row>
    <row r="20" spans="1:238" s="4" customFormat="1" ht="14.1" customHeight="1">
      <c r="A20" s="93"/>
      <c r="B20" s="108"/>
      <c r="C20" s="38" t="s">
        <v>39</v>
      </c>
      <c r="D20" s="42" t="s">
        <v>5</v>
      </c>
      <c r="E20" s="55">
        <f t="shared" si="4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</row>
    <row r="21" spans="1:238" s="4" customFormat="1" ht="14.1" customHeight="1">
      <c r="A21" s="93"/>
      <c r="B21" s="108"/>
      <c r="C21" s="38" t="s">
        <v>40</v>
      </c>
      <c r="D21" s="42" t="s">
        <v>6</v>
      </c>
      <c r="E21" s="55">
        <f t="shared" si="4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</row>
    <row r="22" spans="1:238" s="4" customFormat="1" ht="14.1" customHeight="1">
      <c r="A22" s="93"/>
      <c r="B22" s="108"/>
      <c r="C22" s="38" t="s">
        <v>41</v>
      </c>
      <c r="D22" s="24" t="s">
        <v>7</v>
      </c>
      <c r="E22" s="55">
        <f t="shared" si="4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</row>
    <row r="23" spans="1:238" s="4" customFormat="1" ht="14.1" customHeight="1">
      <c r="A23" s="93"/>
      <c r="B23" s="108"/>
      <c r="C23" s="38" t="s">
        <v>44</v>
      </c>
      <c r="D23" s="24" t="s">
        <v>8</v>
      </c>
      <c r="E23" s="55">
        <f t="shared" si="4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</row>
    <row r="24" spans="1:238" s="4" customFormat="1" ht="14.1" customHeight="1">
      <c r="A24" s="93"/>
      <c r="B24" s="108"/>
      <c r="C24" s="38" t="s">
        <v>45</v>
      </c>
      <c r="D24" s="24" t="s">
        <v>29</v>
      </c>
      <c r="E24" s="55">
        <f t="shared" si="4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</row>
    <row r="25" spans="1:238" s="4" customFormat="1" ht="14.1" customHeight="1">
      <c r="A25" s="93"/>
      <c r="B25" s="108"/>
      <c r="C25" s="38" t="s">
        <v>46</v>
      </c>
      <c r="D25" s="24" t="s">
        <v>30</v>
      </c>
      <c r="E25" s="55">
        <f t="shared" si="4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</row>
    <row r="26" spans="1:238" s="4" customFormat="1" ht="14.1" customHeight="1">
      <c r="A26" s="93"/>
      <c r="B26" s="108"/>
      <c r="C26" s="38" t="s">
        <v>48</v>
      </c>
      <c r="D26" s="24" t="s">
        <v>31</v>
      </c>
      <c r="E26" s="55">
        <f t="shared" si="4"/>
        <v>0</v>
      </c>
      <c r="F26" s="51">
        <f>SUM(F19:F25)</f>
        <v>0</v>
      </c>
      <c r="G26" s="52">
        <f t="shared" ref="G26:W26" si="5">SUM(G19:G25)</f>
        <v>0</v>
      </c>
      <c r="H26" s="53">
        <f t="shared" si="5"/>
        <v>0</v>
      </c>
      <c r="I26" s="53">
        <f t="shared" si="5"/>
        <v>0</v>
      </c>
      <c r="J26" s="53">
        <f t="shared" si="5"/>
        <v>0</v>
      </c>
      <c r="K26" s="53">
        <f t="shared" si="5"/>
        <v>0</v>
      </c>
      <c r="L26" s="53">
        <f t="shared" si="5"/>
        <v>0</v>
      </c>
      <c r="M26" s="53">
        <f t="shared" si="5"/>
        <v>0</v>
      </c>
      <c r="N26" s="53">
        <f t="shared" si="5"/>
        <v>0</v>
      </c>
      <c r="O26" s="53">
        <f t="shared" si="5"/>
        <v>0</v>
      </c>
      <c r="P26" s="53">
        <f t="shared" si="5"/>
        <v>0</v>
      </c>
      <c r="Q26" s="53">
        <f t="shared" si="5"/>
        <v>0</v>
      </c>
      <c r="R26" s="53">
        <f t="shared" si="5"/>
        <v>0</v>
      </c>
      <c r="S26" s="53">
        <f t="shared" si="5"/>
        <v>0</v>
      </c>
      <c r="T26" s="53">
        <f t="shared" si="5"/>
        <v>0</v>
      </c>
      <c r="U26" s="53">
        <f t="shared" si="5"/>
        <v>0</v>
      </c>
      <c r="V26" s="53">
        <f t="shared" si="5"/>
        <v>0</v>
      </c>
      <c r="W26" s="54">
        <f t="shared" si="5"/>
        <v>0</v>
      </c>
      <c r="X26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</row>
    <row r="27" spans="1:238" s="4" customFormat="1" ht="14.1" customHeight="1">
      <c r="A27" s="93"/>
      <c r="B27" s="108"/>
      <c r="C27" s="38" t="s">
        <v>3</v>
      </c>
      <c r="D27" s="24" t="s">
        <v>32</v>
      </c>
      <c r="E27" s="56">
        <f t="shared" si="4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</row>
    <row r="28" spans="1:238" s="4" customFormat="1" ht="14.1" customHeight="1">
      <c r="A28" s="93"/>
      <c r="B28" s="108"/>
      <c r="C28" s="38" t="s">
        <v>9</v>
      </c>
      <c r="D28" s="24" t="s">
        <v>42</v>
      </c>
      <c r="E28" s="56">
        <f t="shared" si="4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</row>
    <row r="29" spans="1:238" s="4" customFormat="1" ht="14.1" customHeight="1">
      <c r="A29" s="93"/>
      <c r="B29" s="108"/>
      <c r="C29" s="38" t="s">
        <v>49</v>
      </c>
      <c r="D29" s="24" t="s">
        <v>43</v>
      </c>
      <c r="E29" s="56">
        <f t="shared" si="4"/>
        <v>0</v>
      </c>
      <c r="F29" s="51">
        <f>F27+F28</f>
        <v>0</v>
      </c>
      <c r="G29" s="52">
        <f t="shared" ref="G29:W29" si="6">G27+G28</f>
        <v>0</v>
      </c>
      <c r="H29" s="53">
        <f t="shared" si="6"/>
        <v>0</v>
      </c>
      <c r="I29" s="53">
        <f t="shared" si="6"/>
        <v>0</v>
      </c>
      <c r="J29" s="53">
        <f t="shared" si="6"/>
        <v>0</v>
      </c>
      <c r="K29" s="53">
        <f t="shared" si="6"/>
        <v>0</v>
      </c>
      <c r="L29" s="53">
        <f t="shared" si="6"/>
        <v>0</v>
      </c>
      <c r="M29" s="53">
        <f t="shared" si="6"/>
        <v>0</v>
      </c>
      <c r="N29" s="53">
        <f t="shared" si="6"/>
        <v>0</v>
      </c>
      <c r="O29" s="53">
        <f t="shared" si="6"/>
        <v>0</v>
      </c>
      <c r="P29" s="53">
        <f t="shared" si="6"/>
        <v>0</v>
      </c>
      <c r="Q29" s="53">
        <f t="shared" si="6"/>
        <v>0</v>
      </c>
      <c r="R29" s="53">
        <f t="shared" si="6"/>
        <v>0</v>
      </c>
      <c r="S29" s="53">
        <f t="shared" si="6"/>
        <v>0</v>
      </c>
      <c r="T29" s="53">
        <f t="shared" si="6"/>
        <v>0</v>
      </c>
      <c r="U29" s="53">
        <f t="shared" si="6"/>
        <v>0</v>
      </c>
      <c r="V29" s="53">
        <f t="shared" si="6"/>
        <v>0</v>
      </c>
      <c r="W29" s="54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</row>
    <row r="30" spans="1:238" s="4" customFormat="1" ht="14.1" customHeight="1" thickBot="1">
      <c r="A30" s="94"/>
      <c r="B30" s="109"/>
      <c r="C30" s="39" t="s">
        <v>50</v>
      </c>
      <c r="D30" s="25" t="s">
        <v>47</v>
      </c>
      <c r="E30" s="57">
        <f t="shared" si="4"/>
        <v>0</v>
      </c>
      <c r="F30" s="58">
        <f>F26-F29</f>
        <v>0</v>
      </c>
      <c r="G30" s="59">
        <f t="shared" ref="G30:W30" si="7">G26-G29</f>
        <v>0</v>
      </c>
      <c r="H30" s="60">
        <f t="shared" si="7"/>
        <v>0</v>
      </c>
      <c r="I30" s="60">
        <f t="shared" si="7"/>
        <v>0</v>
      </c>
      <c r="J30" s="60">
        <f t="shared" si="7"/>
        <v>0</v>
      </c>
      <c r="K30" s="60">
        <f t="shared" si="7"/>
        <v>0</v>
      </c>
      <c r="L30" s="60">
        <f t="shared" si="7"/>
        <v>0</v>
      </c>
      <c r="M30" s="60">
        <f t="shared" si="7"/>
        <v>0</v>
      </c>
      <c r="N30" s="60">
        <f t="shared" si="7"/>
        <v>0</v>
      </c>
      <c r="O30" s="60">
        <f t="shared" si="7"/>
        <v>0</v>
      </c>
      <c r="P30" s="60">
        <f t="shared" si="7"/>
        <v>0</v>
      </c>
      <c r="Q30" s="60">
        <f t="shared" si="7"/>
        <v>0</v>
      </c>
      <c r="R30" s="60">
        <f t="shared" si="7"/>
        <v>0</v>
      </c>
      <c r="S30" s="60">
        <f t="shared" si="7"/>
        <v>0</v>
      </c>
      <c r="T30" s="60">
        <f t="shared" si="7"/>
        <v>0</v>
      </c>
      <c r="U30" s="60">
        <f t="shared" si="7"/>
        <v>0</v>
      </c>
      <c r="V30" s="60">
        <f t="shared" si="7"/>
        <v>0</v>
      </c>
      <c r="W30" s="61">
        <f t="shared" si="7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</row>
    <row r="31" spans="1:238" s="4" customFormat="1" ht="13.9" customHeight="1">
      <c r="A31" s="92"/>
      <c r="B31" s="107"/>
      <c r="C31" s="38" t="s">
        <v>38</v>
      </c>
      <c r="D31" s="23" t="s">
        <v>4</v>
      </c>
      <c r="E31" s="55">
        <f t="shared" ref="E31:E42" si="8">SUM(F31:W31)</f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</row>
    <row r="32" spans="1:238" s="4" customFormat="1" ht="13.9" customHeight="1">
      <c r="A32" s="93"/>
      <c r="B32" s="108"/>
      <c r="C32" s="38" t="s">
        <v>39</v>
      </c>
      <c r="D32" s="42" t="s">
        <v>5</v>
      </c>
      <c r="E32" s="55">
        <f t="shared" si="8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</row>
    <row r="33" spans="1:238" s="4" customFormat="1" ht="13.9" customHeight="1">
      <c r="A33" s="93"/>
      <c r="B33" s="108"/>
      <c r="C33" s="38" t="s">
        <v>40</v>
      </c>
      <c r="D33" s="42" t="s">
        <v>6</v>
      </c>
      <c r="E33" s="55">
        <f t="shared" si="8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</row>
    <row r="34" spans="1:238" s="4" customFormat="1" ht="14.1" customHeight="1">
      <c r="A34" s="93"/>
      <c r="B34" s="108"/>
      <c r="C34" s="38" t="s">
        <v>41</v>
      </c>
      <c r="D34" s="24" t="s">
        <v>7</v>
      </c>
      <c r="E34" s="55">
        <f t="shared" si="8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</row>
    <row r="35" spans="1:238" s="4" customFormat="1" ht="14.1" customHeight="1">
      <c r="A35" s="93"/>
      <c r="B35" s="108"/>
      <c r="C35" s="38" t="s">
        <v>44</v>
      </c>
      <c r="D35" s="24" t="s">
        <v>8</v>
      </c>
      <c r="E35" s="55">
        <f t="shared" si="8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</row>
    <row r="36" spans="1:238" s="4" customFormat="1" ht="14.1" customHeight="1">
      <c r="A36" s="93"/>
      <c r="B36" s="108"/>
      <c r="C36" s="38" t="s">
        <v>45</v>
      </c>
      <c r="D36" s="24" t="s">
        <v>29</v>
      </c>
      <c r="E36" s="55">
        <f t="shared" si="8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</row>
    <row r="37" spans="1:238" s="4" customFormat="1" ht="14.1" customHeight="1">
      <c r="A37" s="93"/>
      <c r="B37" s="108"/>
      <c r="C37" s="38" t="s">
        <v>46</v>
      </c>
      <c r="D37" s="24" t="s">
        <v>30</v>
      </c>
      <c r="E37" s="55">
        <f t="shared" si="8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</row>
    <row r="38" spans="1:238" s="4" customFormat="1" ht="14.1" customHeight="1">
      <c r="A38" s="93"/>
      <c r="B38" s="108"/>
      <c r="C38" s="38" t="s">
        <v>48</v>
      </c>
      <c r="D38" s="24" t="s">
        <v>31</v>
      </c>
      <c r="E38" s="55">
        <f t="shared" si="8"/>
        <v>0</v>
      </c>
      <c r="F38" s="51">
        <f>SUM(F31:F37)</f>
        <v>0</v>
      </c>
      <c r="G38" s="52">
        <f t="shared" ref="G38:W38" si="9">SUM(G31:G37)</f>
        <v>0</v>
      </c>
      <c r="H38" s="53">
        <f t="shared" si="9"/>
        <v>0</v>
      </c>
      <c r="I38" s="53">
        <f t="shared" si="9"/>
        <v>0</v>
      </c>
      <c r="J38" s="53">
        <f t="shared" si="9"/>
        <v>0</v>
      </c>
      <c r="K38" s="53">
        <f t="shared" si="9"/>
        <v>0</v>
      </c>
      <c r="L38" s="53">
        <f t="shared" si="9"/>
        <v>0</v>
      </c>
      <c r="M38" s="53">
        <f t="shared" si="9"/>
        <v>0</v>
      </c>
      <c r="N38" s="53">
        <f t="shared" si="9"/>
        <v>0</v>
      </c>
      <c r="O38" s="53">
        <f t="shared" si="9"/>
        <v>0</v>
      </c>
      <c r="P38" s="53">
        <f t="shared" si="9"/>
        <v>0</v>
      </c>
      <c r="Q38" s="53">
        <f t="shared" si="9"/>
        <v>0</v>
      </c>
      <c r="R38" s="53">
        <f t="shared" si="9"/>
        <v>0</v>
      </c>
      <c r="S38" s="53">
        <f t="shared" si="9"/>
        <v>0</v>
      </c>
      <c r="T38" s="53">
        <f t="shared" si="9"/>
        <v>0</v>
      </c>
      <c r="U38" s="53">
        <f t="shared" si="9"/>
        <v>0</v>
      </c>
      <c r="V38" s="53">
        <f t="shared" si="9"/>
        <v>0</v>
      </c>
      <c r="W38" s="54">
        <f t="shared" si="9"/>
        <v>0</v>
      </c>
      <c r="X38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</row>
    <row r="39" spans="1:238" s="4" customFormat="1" ht="14.1" customHeight="1">
      <c r="A39" s="93"/>
      <c r="B39" s="108"/>
      <c r="C39" s="38" t="s">
        <v>3</v>
      </c>
      <c r="D39" s="24" t="s">
        <v>32</v>
      </c>
      <c r="E39" s="56">
        <f t="shared" si="8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</row>
    <row r="40" spans="1:238" s="4" customFormat="1" ht="14.1" customHeight="1">
      <c r="A40" s="93"/>
      <c r="B40" s="108"/>
      <c r="C40" s="38" t="s">
        <v>9</v>
      </c>
      <c r="D40" s="24" t="s">
        <v>42</v>
      </c>
      <c r="E40" s="56">
        <f t="shared" si="8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</row>
    <row r="41" spans="1:238" s="4" customFormat="1" ht="14.1" customHeight="1">
      <c r="A41" s="93"/>
      <c r="B41" s="108"/>
      <c r="C41" s="38" t="s">
        <v>49</v>
      </c>
      <c r="D41" s="24" t="s">
        <v>43</v>
      </c>
      <c r="E41" s="56">
        <f t="shared" si="8"/>
        <v>0</v>
      </c>
      <c r="F41" s="52">
        <f>F39+F40</f>
        <v>0</v>
      </c>
      <c r="G41" s="52">
        <f>G39+G40</f>
        <v>0</v>
      </c>
      <c r="H41" s="53">
        <f t="shared" ref="H41:W41" si="10">H39+H40</f>
        <v>0</v>
      </c>
      <c r="I41" s="53">
        <f t="shared" si="10"/>
        <v>0</v>
      </c>
      <c r="J41" s="53">
        <f t="shared" si="10"/>
        <v>0</v>
      </c>
      <c r="K41" s="53">
        <f t="shared" si="10"/>
        <v>0</v>
      </c>
      <c r="L41" s="53">
        <f t="shared" si="10"/>
        <v>0</v>
      </c>
      <c r="M41" s="53">
        <f t="shared" si="10"/>
        <v>0</v>
      </c>
      <c r="N41" s="53">
        <f t="shared" si="10"/>
        <v>0</v>
      </c>
      <c r="O41" s="53">
        <f t="shared" si="10"/>
        <v>0</v>
      </c>
      <c r="P41" s="53">
        <f t="shared" si="10"/>
        <v>0</v>
      </c>
      <c r="Q41" s="53">
        <f t="shared" si="10"/>
        <v>0</v>
      </c>
      <c r="R41" s="53">
        <f t="shared" si="10"/>
        <v>0</v>
      </c>
      <c r="S41" s="53">
        <f t="shared" si="10"/>
        <v>0</v>
      </c>
      <c r="T41" s="53">
        <f t="shared" si="10"/>
        <v>0</v>
      </c>
      <c r="U41" s="53">
        <f t="shared" si="10"/>
        <v>0</v>
      </c>
      <c r="V41" s="53">
        <f t="shared" si="10"/>
        <v>0</v>
      </c>
      <c r="W41" s="54">
        <f t="shared" si="10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</row>
    <row r="42" spans="1:238" s="4" customFormat="1" ht="14.1" customHeight="1" thickBot="1">
      <c r="A42" s="94"/>
      <c r="B42" s="109"/>
      <c r="C42" s="39" t="s">
        <v>50</v>
      </c>
      <c r="D42" s="25" t="s">
        <v>47</v>
      </c>
      <c r="E42" s="57">
        <f t="shared" si="8"/>
        <v>0</v>
      </c>
      <c r="F42" s="58">
        <f>F38-F41</f>
        <v>0</v>
      </c>
      <c r="G42" s="59">
        <f t="shared" ref="G42:W42" si="11">G38-G41</f>
        <v>0</v>
      </c>
      <c r="H42" s="60">
        <f t="shared" si="11"/>
        <v>0</v>
      </c>
      <c r="I42" s="60">
        <f t="shared" si="11"/>
        <v>0</v>
      </c>
      <c r="J42" s="60">
        <f t="shared" si="11"/>
        <v>0</v>
      </c>
      <c r="K42" s="60">
        <f t="shared" si="11"/>
        <v>0</v>
      </c>
      <c r="L42" s="60">
        <f t="shared" si="11"/>
        <v>0</v>
      </c>
      <c r="M42" s="60">
        <f t="shared" si="11"/>
        <v>0</v>
      </c>
      <c r="N42" s="60">
        <f t="shared" si="11"/>
        <v>0</v>
      </c>
      <c r="O42" s="60">
        <f t="shared" si="11"/>
        <v>0</v>
      </c>
      <c r="P42" s="60">
        <f t="shared" si="11"/>
        <v>0</v>
      </c>
      <c r="Q42" s="60">
        <f t="shared" si="11"/>
        <v>0</v>
      </c>
      <c r="R42" s="60">
        <f t="shared" si="11"/>
        <v>0</v>
      </c>
      <c r="S42" s="60">
        <f t="shared" si="11"/>
        <v>0</v>
      </c>
      <c r="T42" s="60">
        <f t="shared" si="11"/>
        <v>0</v>
      </c>
      <c r="U42" s="60">
        <f t="shared" si="11"/>
        <v>0</v>
      </c>
      <c r="V42" s="60">
        <f t="shared" si="11"/>
        <v>0</v>
      </c>
      <c r="W42" s="61">
        <f t="shared" si="11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</row>
    <row r="43" spans="1:238" ht="14.1" customHeight="1">
      <c r="E43" s="14"/>
    </row>
    <row r="44" spans="1:238" ht="14.1" customHeight="1"/>
    <row r="45" spans="1:238" ht="14.1" customHeight="1"/>
    <row r="46" spans="1:238" ht="14.1" customHeight="1"/>
    <row r="47" spans="1:238" ht="14.1" customHeight="1"/>
    <row r="48" spans="1:23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</sheetData>
  <mergeCells count="14">
    <mergeCell ref="B6:B17"/>
    <mergeCell ref="A6:A17"/>
    <mergeCell ref="A31:A42"/>
    <mergeCell ref="B31:B42"/>
    <mergeCell ref="A5:B5"/>
    <mergeCell ref="A19:A30"/>
    <mergeCell ref="B19:B30"/>
    <mergeCell ref="C5:D5"/>
    <mergeCell ref="U1:W1"/>
    <mergeCell ref="U2:W2"/>
    <mergeCell ref="U3:W3"/>
    <mergeCell ref="D1:Q1"/>
    <mergeCell ref="D2:Q2"/>
    <mergeCell ref="D3:Q3"/>
  </mergeCells>
  <phoneticPr fontId="0" type="noConversion"/>
  <pageMargins left="0.17" right="0.16" top="0.57999999999999996" bottom="0.38" header="0.3" footer="0.17"/>
  <pageSetup paperSize="9" scale="71" fitToHeight="10" orientation="landscape" r:id="rId1"/>
  <headerFooter alignWithMargins="0">
    <oddFooter>&amp;L&amp;7&amp;F, &amp;A&amp;C&amp;8&amp;P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HX159"/>
  <sheetViews>
    <sheetView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27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45180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42" si="0">SUM(F6:W6)</f>
        <v>0</v>
      </c>
      <c r="F6" s="72">
        <f>SUMIF($D$19:$D$300,$D6,F$19:F$300)</f>
        <v>0</v>
      </c>
      <c r="G6" s="73">
        <f t="shared" ref="G6:V17" si="1">SUMIF($D$19:$D$300,$D6,G$19:G$300)</f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R6" s="73">
        <f t="shared" si="1"/>
        <v>0</v>
      </c>
      <c r="S6" s="73">
        <f t="shared" si="1"/>
        <v>0</v>
      </c>
      <c r="T6" s="73">
        <f t="shared" si="1"/>
        <v>0</v>
      </c>
      <c r="U6" s="73">
        <f t="shared" si="1"/>
        <v>0</v>
      </c>
      <c r="V6" s="73">
        <f t="shared" si="1"/>
        <v>0</v>
      </c>
      <c r="W6" s="74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2">
        <f t="shared" ref="F7:F17" si="3">SUMIF($D$19:$D$300,$D7,F$19:F$300)</f>
        <v>0</v>
      </c>
      <c r="G7" s="79">
        <f t="shared" si="1"/>
        <v>0</v>
      </c>
      <c r="H7" s="79">
        <f t="shared" si="1"/>
        <v>0</v>
      </c>
      <c r="I7" s="79">
        <f t="shared" si="1"/>
        <v>0</v>
      </c>
      <c r="J7" s="79">
        <f t="shared" si="1"/>
        <v>0</v>
      </c>
      <c r="K7" s="79">
        <f t="shared" si="1"/>
        <v>0</v>
      </c>
      <c r="L7" s="79">
        <f t="shared" si="1"/>
        <v>0</v>
      </c>
      <c r="M7" s="79">
        <f t="shared" si="1"/>
        <v>0</v>
      </c>
      <c r="N7" s="79">
        <f t="shared" si="1"/>
        <v>0</v>
      </c>
      <c r="O7" s="79">
        <f t="shared" si="1"/>
        <v>0</v>
      </c>
      <c r="P7" s="79">
        <f t="shared" si="1"/>
        <v>0</v>
      </c>
      <c r="Q7" s="79">
        <f t="shared" si="1"/>
        <v>0</v>
      </c>
      <c r="R7" s="79">
        <f t="shared" si="1"/>
        <v>0</v>
      </c>
      <c r="S7" s="79">
        <f t="shared" si="1"/>
        <v>0</v>
      </c>
      <c r="T7" s="79">
        <f t="shared" si="1"/>
        <v>0</v>
      </c>
      <c r="U7" s="79">
        <f t="shared" si="1"/>
        <v>0</v>
      </c>
      <c r="V7" s="79">
        <f t="shared" si="1"/>
        <v>0</v>
      </c>
      <c r="W7" s="63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2">
        <f t="shared" si="3"/>
        <v>0</v>
      </c>
      <c r="G8" s="79">
        <f t="shared" si="1"/>
        <v>0</v>
      </c>
      <c r="H8" s="79">
        <f t="shared" si="1"/>
        <v>0</v>
      </c>
      <c r="I8" s="79">
        <f t="shared" si="1"/>
        <v>0</v>
      </c>
      <c r="J8" s="79">
        <f t="shared" si="1"/>
        <v>0</v>
      </c>
      <c r="K8" s="79">
        <f t="shared" si="1"/>
        <v>0</v>
      </c>
      <c r="L8" s="79">
        <f t="shared" si="1"/>
        <v>0</v>
      </c>
      <c r="M8" s="79">
        <f t="shared" si="1"/>
        <v>0</v>
      </c>
      <c r="N8" s="79">
        <f t="shared" si="1"/>
        <v>0</v>
      </c>
      <c r="O8" s="79">
        <f t="shared" si="1"/>
        <v>0</v>
      </c>
      <c r="P8" s="79">
        <f t="shared" si="1"/>
        <v>0</v>
      </c>
      <c r="Q8" s="79">
        <f t="shared" si="1"/>
        <v>0</v>
      </c>
      <c r="R8" s="79">
        <f t="shared" si="1"/>
        <v>0</v>
      </c>
      <c r="S8" s="79">
        <f t="shared" si="1"/>
        <v>0</v>
      </c>
      <c r="T8" s="79">
        <f t="shared" si="1"/>
        <v>0</v>
      </c>
      <c r="U8" s="79">
        <f t="shared" si="1"/>
        <v>0</v>
      </c>
      <c r="V8" s="79">
        <f t="shared" si="1"/>
        <v>0</v>
      </c>
      <c r="W8" s="63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3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1"/>
        <v>0</v>
      </c>
      <c r="Q9" s="75">
        <f t="shared" si="1"/>
        <v>0</v>
      </c>
      <c r="R9" s="75">
        <f t="shared" si="1"/>
        <v>0</v>
      </c>
      <c r="S9" s="75">
        <f t="shared" si="1"/>
        <v>0</v>
      </c>
      <c r="T9" s="75">
        <f t="shared" si="1"/>
        <v>0</v>
      </c>
      <c r="U9" s="75">
        <f t="shared" si="1"/>
        <v>0</v>
      </c>
      <c r="V9" s="75">
        <f t="shared" si="1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3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1"/>
        <v>0</v>
      </c>
      <c r="Q10" s="75">
        <f t="shared" si="1"/>
        <v>0</v>
      </c>
      <c r="R10" s="75">
        <f t="shared" si="1"/>
        <v>0</v>
      </c>
      <c r="S10" s="75">
        <f t="shared" si="1"/>
        <v>0</v>
      </c>
      <c r="T10" s="75">
        <f t="shared" si="1"/>
        <v>0</v>
      </c>
      <c r="U10" s="75">
        <f t="shared" si="1"/>
        <v>0</v>
      </c>
      <c r="V10" s="75">
        <f t="shared" si="1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3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1"/>
        <v>0</v>
      </c>
      <c r="Q11" s="75">
        <f t="shared" si="1"/>
        <v>0</v>
      </c>
      <c r="R11" s="75">
        <f t="shared" si="1"/>
        <v>0</v>
      </c>
      <c r="S11" s="75">
        <f t="shared" si="1"/>
        <v>0</v>
      </c>
      <c r="T11" s="75">
        <f t="shared" si="1"/>
        <v>0</v>
      </c>
      <c r="U11" s="75">
        <f t="shared" si="1"/>
        <v>0</v>
      </c>
      <c r="V11" s="75">
        <f t="shared" si="1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3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1"/>
        <v>0</v>
      </c>
      <c r="Q12" s="77">
        <f t="shared" si="1"/>
        <v>0</v>
      </c>
      <c r="R12" s="77">
        <f t="shared" si="1"/>
        <v>0</v>
      </c>
      <c r="S12" s="77">
        <f t="shared" si="1"/>
        <v>0</v>
      </c>
      <c r="T12" s="77">
        <f t="shared" si="1"/>
        <v>0</v>
      </c>
      <c r="U12" s="77">
        <f t="shared" si="1"/>
        <v>0</v>
      </c>
      <c r="V12" s="77">
        <f t="shared" si="1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3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1"/>
        <v>0</v>
      </c>
      <c r="Q13" s="75">
        <f t="shared" si="1"/>
        <v>0</v>
      </c>
      <c r="R13" s="75">
        <f t="shared" si="1"/>
        <v>0</v>
      </c>
      <c r="S13" s="75">
        <f t="shared" si="1"/>
        <v>0</v>
      </c>
      <c r="T13" s="75">
        <f t="shared" si="1"/>
        <v>0</v>
      </c>
      <c r="U13" s="75">
        <f t="shared" si="1"/>
        <v>0</v>
      </c>
      <c r="V13" s="75">
        <f t="shared" si="1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3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1"/>
        <v>0</v>
      </c>
      <c r="Q14" s="75">
        <f t="shared" si="1"/>
        <v>0</v>
      </c>
      <c r="R14" s="75">
        <f t="shared" si="1"/>
        <v>0</v>
      </c>
      <c r="S14" s="75">
        <f t="shared" si="1"/>
        <v>0</v>
      </c>
      <c r="T14" s="75">
        <f t="shared" si="1"/>
        <v>0</v>
      </c>
      <c r="U14" s="75">
        <f t="shared" si="1"/>
        <v>0</v>
      </c>
      <c r="V14" s="75">
        <f t="shared" si="1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3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1"/>
        <v>0</v>
      </c>
      <c r="Q15" s="79">
        <f t="shared" si="1"/>
        <v>0</v>
      </c>
      <c r="R15" s="79">
        <f t="shared" si="1"/>
        <v>0</v>
      </c>
      <c r="S15" s="79">
        <f t="shared" si="1"/>
        <v>0</v>
      </c>
      <c r="T15" s="79">
        <f t="shared" si="1"/>
        <v>0</v>
      </c>
      <c r="U15" s="79">
        <f t="shared" si="1"/>
        <v>0</v>
      </c>
      <c r="V15" s="79">
        <f t="shared" si="1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3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1"/>
        <v>0</v>
      </c>
      <c r="Q16" s="79">
        <f t="shared" si="1"/>
        <v>0</v>
      </c>
      <c r="R16" s="79">
        <f t="shared" si="1"/>
        <v>0</v>
      </c>
      <c r="S16" s="79">
        <f t="shared" si="1"/>
        <v>0</v>
      </c>
      <c r="T16" s="79">
        <f t="shared" si="1"/>
        <v>0</v>
      </c>
      <c r="U16" s="79">
        <f t="shared" si="1"/>
        <v>0</v>
      </c>
      <c r="V16" s="79">
        <f t="shared" si="1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3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1"/>
        <v>0</v>
      </c>
      <c r="Q17" s="68">
        <f t="shared" si="1"/>
        <v>0</v>
      </c>
      <c r="R17" s="68">
        <f t="shared" si="1"/>
        <v>0</v>
      </c>
      <c r="S17" s="68">
        <f t="shared" si="1"/>
        <v>0</v>
      </c>
      <c r="T17" s="68">
        <f t="shared" si="1"/>
        <v>0</v>
      </c>
      <c r="U17" s="68">
        <f t="shared" si="1"/>
        <v>0</v>
      </c>
      <c r="V17" s="68">
        <f t="shared" si="1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si="0"/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0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0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0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0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0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0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0"/>
        <v>0</v>
      </c>
      <c r="F26" s="51">
        <f>SUM(F19:F25)</f>
        <v>0</v>
      </c>
      <c r="G26" s="52">
        <f t="shared" ref="G26:W26" si="4">SUM(G19:G25)</f>
        <v>0</v>
      </c>
      <c r="H26" s="53">
        <f t="shared" si="4"/>
        <v>0</v>
      </c>
      <c r="I26" s="53">
        <f t="shared" si="4"/>
        <v>0</v>
      </c>
      <c r="J26" s="53">
        <f t="shared" si="4"/>
        <v>0</v>
      </c>
      <c r="K26" s="53">
        <f t="shared" si="4"/>
        <v>0</v>
      </c>
      <c r="L26" s="53">
        <f t="shared" si="4"/>
        <v>0</v>
      </c>
      <c r="M26" s="53">
        <f t="shared" si="4"/>
        <v>0</v>
      </c>
      <c r="N26" s="53">
        <f t="shared" si="4"/>
        <v>0</v>
      </c>
      <c r="O26" s="53">
        <f t="shared" si="4"/>
        <v>0</v>
      </c>
      <c r="P26" s="53">
        <f t="shared" si="4"/>
        <v>0</v>
      </c>
      <c r="Q26" s="53">
        <f t="shared" si="4"/>
        <v>0</v>
      </c>
      <c r="R26" s="53">
        <f t="shared" si="4"/>
        <v>0</v>
      </c>
      <c r="S26" s="53">
        <f t="shared" si="4"/>
        <v>0</v>
      </c>
      <c r="T26" s="53">
        <f t="shared" si="4"/>
        <v>0</v>
      </c>
      <c r="U26" s="53">
        <f t="shared" si="4"/>
        <v>0</v>
      </c>
      <c r="V26" s="53">
        <f t="shared" si="4"/>
        <v>0</v>
      </c>
      <c r="W26" s="54">
        <f t="shared" si="4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0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0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0"/>
        <v>0</v>
      </c>
      <c r="F29" s="51">
        <f>F27+F28</f>
        <v>0</v>
      </c>
      <c r="G29" s="52">
        <f t="shared" ref="G29:W29" si="5">G27+G28</f>
        <v>0</v>
      </c>
      <c r="H29" s="53">
        <f t="shared" si="5"/>
        <v>0</v>
      </c>
      <c r="I29" s="53">
        <f t="shared" si="5"/>
        <v>0</v>
      </c>
      <c r="J29" s="53">
        <f t="shared" si="5"/>
        <v>0</v>
      </c>
      <c r="K29" s="53">
        <f t="shared" si="5"/>
        <v>0</v>
      </c>
      <c r="L29" s="53">
        <f t="shared" si="5"/>
        <v>0</v>
      </c>
      <c r="M29" s="53">
        <f t="shared" si="5"/>
        <v>0</v>
      </c>
      <c r="N29" s="53">
        <f t="shared" si="5"/>
        <v>0</v>
      </c>
      <c r="O29" s="53">
        <f t="shared" si="5"/>
        <v>0</v>
      </c>
      <c r="P29" s="53">
        <f t="shared" si="5"/>
        <v>0</v>
      </c>
      <c r="Q29" s="53">
        <f t="shared" si="5"/>
        <v>0</v>
      </c>
      <c r="R29" s="53">
        <f t="shared" si="5"/>
        <v>0</v>
      </c>
      <c r="S29" s="53">
        <f t="shared" si="5"/>
        <v>0</v>
      </c>
      <c r="T29" s="53">
        <f t="shared" si="5"/>
        <v>0</v>
      </c>
      <c r="U29" s="53">
        <f t="shared" si="5"/>
        <v>0</v>
      </c>
      <c r="V29" s="53">
        <f t="shared" si="5"/>
        <v>0</v>
      </c>
      <c r="W29" s="54">
        <f t="shared" si="5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0"/>
        <v>0</v>
      </c>
      <c r="F30" s="58">
        <f>F26-F29</f>
        <v>0</v>
      </c>
      <c r="G30" s="59">
        <f t="shared" ref="G30:W30" si="6">G26-G29</f>
        <v>0</v>
      </c>
      <c r="H30" s="60">
        <f t="shared" si="6"/>
        <v>0</v>
      </c>
      <c r="I30" s="60">
        <f t="shared" si="6"/>
        <v>0</v>
      </c>
      <c r="J30" s="60">
        <f t="shared" si="6"/>
        <v>0</v>
      </c>
      <c r="K30" s="60">
        <f t="shared" si="6"/>
        <v>0</v>
      </c>
      <c r="L30" s="60">
        <f t="shared" si="6"/>
        <v>0</v>
      </c>
      <c r="M30" s="60">
        <f t="shared" si="6"/>
        <v>0</v>
      </c>
      <c r="N30" s="60">
        <f t="shared" si="6"/>
        <v>0</v>
      </c>
      <c r="O30" s="60">
        <f t="shared" si="6"/>
        <v>0</v>
      </c>
      <c r="P30" s="60">
        <f t="shared" si="6"/>
        <v>0</v>
      </c>
      <c r="Q30" s="60">
        <f t="shared" si="6"/>
        <v>0</v>
      </c>
      <c r="R30" s="60">
        <f t="shared" si="6"/>
        <v>0</v>
      </c>
      <c r="S30" s="60">
        <f t="shared" si="6"/>
        <v>0</v>
      </c>
      <c r="T30" s="60">
        <f t="shared" si="6"/>
        <v>0</v>
      </c>
      <c r="U30" s="60">
        <f t="shared" si="6"/>
        <v>0</v>
      </c>
      <c r="V30" s="60">
        <f t="shared" si="6"/>
        <v>0</v>
      </c>
      <c r="W30" s="61">
        <f t="shared" si="6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si="0"/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0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0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0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0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0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0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0"/>
        <v>0</v>
      </c>
      <c r="F38" s="51">
        <f>SUM(F31:F37)</f>
        <v>0</v>
      </c>
      <c r="G38" s="52">
        <f t="shared" ref="G38:W38" si="7">SUM(G31:G37)</f>
        <v>0</v>
      </c>
      <c r="H38" s="53">
        <f t="shared" si="7"/>
        <v>0</v>
      </c>
      <c r="I38" s="53">
        <f t="shared" si="7"/>
        <v>0</v>
      </c>
      <c r="J38" s="53">
        <f t="shared" si="7"/>
        <v>0</v>
      </c>
      <c r="K38" s="53">
        <f t="shared" si="7"/>
        <v>0</v>
      </c>
      <c r="L38" s="53">
        <f t="shared" si="7"/>
        <v>0</v>
      </c>
      <c r="M38" s="53">
        <f t="shared" si="7"/>
        <v>0</v>
      </c>
      <c r="N38" s="53">
        <f t="shared" si="7"/>
        <v>0</v>
      </c>
      <c r="O38" s="53">
        <f t="shared" si="7"/>
        <v>0</v>
      </c>
      <c r="P38" s="53">
        <f t="shared" si="7"/>
        <v>0</v>
      </c>
      <c r="Q38" s="53">
        <f t="shared" si="7"/>
        <v>0</v>
      </c>
      <c r="R38" s="53">
        <f t="shared" si="7"/>
        <v>0</v>
      </c>
      <c r="S38" s="53">
        <f t="shared" si="7"/>
        <v>0</v>
      </c>
      <c r="T38" s="53">
        <f t="shared" si="7"/>
        <v>0</v>
      </c>
      <c r="U38" s="53">
        <f t="shared" si="7"/>
        <v>0</v>
      </c>
      <c r="V38" s="53">
        <f t="shared" si="7"/>
        <v>0</v>
      </c>
      <c r="W38" s="54">
        <f t="shared" si="7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0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0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0"/>
        <v>0</v>
      </c>
      <c r="F41" s="51">
        <f>F39+F40</f>
        <v>0</v>
      </c>
      <c r="G41" s="52">
        <f t="shared" ref="G41:W41" si="8">G39+G40</f>
        <v>0</v>
      </c>
      <c r="H41" s="53">
        <f t="shared" si="8"/>
        <v>0</v>
      </c>
      <c r="I41" s="53">
        <f t="shared" si="8"/>
        <v>0</v>
      </c>
      <c r="J41" s="53">
        <f t="shared" si="8"/>
        <v>0</v>
      </c>
      <c r="K41" s="53">
        <f t="shared" si="8"/>
        <v>0</v>
      </c>
      <c r="L41" s="53">
        <f t="shared" si="8"/>
        <v>0</v>
      </c>
      <c r="M41" s="53">
        <f t="shared" si="8"/>
        <v>0</v>
      </c>
      <c r="N41" s="53">
        <f t="shared" si="8"/>
        <v>0</v>
      </c>
      <c r="O41" s="53">
        <f t="shared" si="8"/>
        <v>0</v>
      </c>
      <c r="P41" s="53">
        <f t="shared" si="8"/>
        <v>0</v>
      </c>
      <c r="Q41" s="53">
        <f t="shared" si="8"/>
        <v>0</v>
      </c>
      <c r="R41" s="53">
        <f t="shared" si="8"/>
        <v>0</v>
      </c>
      <c r="S41" s="53">
        <f t="shared" si="8"/>
        <v>0</v>
      </c>
      <c r="T41" s="53">
        <f t="shared" si="8"/>
        <v>0</v>
      </c>
      <c r="U41" s="53">
        <f t="shared" si="8"/>
        <v>0</v>
      </c>
      <c r="V41" s="53">
        <f t="shared" si="8"/>
        <v>0</v>
      </c>
      <c r="W41" s="54">
        <f t="shared" si="8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0"/>
        <v>0</v>
      </c>
      <c r="F42" s="58">
        <f>F38-F41</f>
        <v>0</v>
      </c>
      <c r="G42" s="59">
        <f t="shared" ref="G42:W42" si="9">G38-G41</f>
        <v>0</v>
      </c>
      <c r="H42" s="60">
        <f t="shared" si="9"/>
        <v>0</v>
      </c>
      <c r="I42" s="60">
        <f t="shared" si="9"/>
        <v>0</v>
      </c>
      <c r="J42" s="60">
        <f t="shared" si="9"/>
        <v>0</v>
      </c>
      <c r="K42" s="60">
        <f t="shared" si="9"/>
        <v>0</v>
      </c>
      <c r="L42" s="60">
        <f t="shared" si="9"/>
        <v>0</v>
      </c>
      <c r="M42" s="60">
        <f t="shared" si="9"/>
        <v>0</v>
      </c>
      <c r="N42" s="60">
        <f t="shared" si="9"/>
        <v>0</v>
      </c>
      <c r="O42" s="60">
        <f t="shared" si="9"/>
        <v>0</v>
      </c>
      <c r="P42" s="60">
        <f t="shared" si="9"/>
        <v>0</v>
      </c>
      <c r="Q42" s="60">
        <f t="shared" si="9"/>
        <v>0</v>
      </c>
      <c r="R42" s="60">
        <f t="shared" si="9"/>
        <v>0</v>
      </c>
      <c r="S42" s="60">
        <f t="shared" si="9"/>
        <v>0</v>
      </c>
      <c r="T42" s="60">
        <f t="shared" si="9"/>
        <v>0</v>
      </c>
      <c r="U42" s="60">
        <f t="shared" si="9"/>
        <v>0</v>
      </c>
      <c r="V42" s="60">
        <f t="shared" si="9"/>
        <v>0</v>
      </c>
      <c r="W42" s="61">
        <f t="shared" si="9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ht="14.1" customHeight="1"/>
    <row r="44" spans="1:232" ht="14.1" customHeight="1"/>
    <row r="45" spans="1:232" ht="14.1" customHeight="1"/>
    <row r="46" spans="1:232" ht="14.1" customHeight="1"/>
    <row r="47" spans="1:232" ht="14.1" customHeight="1"/>
    <row r="48" spans="1:232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</sheetData>
  <mergeCells count="14">
    <mergeCell ref="A19:A30"/>
    <mergeCell ref="B19:B30"/>
    <mergeCell ref="A31:A42"/>
    <mergeCell ref="B31:B42"/>
    <mergeCell ref="A5:B5"/>
    <mergeCell ref="C5:D5"/>
    <mergeCell ref="A6:A17"/>
    <mergeCell ref="B6:B17"/>
    <mergeCell ref="U1:W1"/>
    <mergeCell ref="U2:W2"/>
    <mergeCell ref="U3:W3"/>
    <mergeCell ref="D1:Q1"/>
    <mergeCell ref="D2:Q2"/>
    <mergeCell ref="D3:Q3"/>
  </mergeCells>
  <phoneticPr fontId="0" type="noConversion"/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X134"/>
  <sheetViews>
    <sheetView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37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>Engg!U2</f>
        <v>0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f>Engg!U3</f>
        <v>0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>
        <f>Engg!F5</f>
        <v>0</v>
      </c>
      <c r="G5" s="85">
        <f>Engg!G5</f>
        <v>0</v>
      </c>
      <c r="H5" s="85">
        <f>Engg!H5</f>
        <v>0</v>
      </c>
      <c r="I5" s="85">
        <f>Engg!I5</f>
        <v>0</v>
      </c>
      <c r="J5" s="85">
        <f>Engg!J5</f>
        <v>0</v>
      </c>
      <c r="K5" s="85">
        <f>Engg!K5</f>
        <v>0</v>
      </c>
      <c r="L5" s="85">
        <f>Engg!L5</f>
        <v>0</v>
      </c>
      <c r="M5" s="85">
        <f>Engg!M5</f>
        <v>0</v>
      </c>
      <c r="N5" s="85">
        <f>Engg!N5</f>
        <v>0</v>
      </c>
      <c r="O5" s="85">
        <f>Engg!O5</f>
        <v>0</v>
      </c>
      <c r="P5" s="85">
        <f>Engg!P5</f>
        <v>0</v>
      </c>
      <c r="Q5" s="85">
        <f>Engg!Q5</f>
        <v>0</v>
      </c>
      <c r="R5" s="85">
        <f>Engg!R5</f>
        <v>0</v>
      </c>
      <c r="S5" s="85">
        <f>Engg!S5</f>
        <v>0</v>
      </c>
      <c r="T5" s="85">
        <f>Engg!T5</f>
        <v>0</v>
      </c>
      <c r="U5" s="85">
        <f>Engg!U5</f>
        <v>0</v>
      </c>
      <c r="V5" s="85">
        <f>Engg!V5</f>
        <v>0</v>
      </c>
      <c r="W5" s="86">
        <f>Engg!W5</f>
        <v>0</v>
      </c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17" si="0">SUM(F6:W6)</f>
        <v>0</v>
      </c>
      <c r="F6" s="72">
        <f>SUMIF($D$19:$D$900,$D6,F$19:F$900)</f>
        <v>0</v>
      </c>
      <c r="G6" s="73">
        <f t="shared" ref="G6:V17" si="1">SUMIF($D$19:$D$900,$D6,G$19:G$900)</f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R6" s="73">
        <f t="shared" si="1"/>
        <v>0</v>
      </c>
      <c r="S6" s="73">
        <f t="shared" si="1"/>
        <v>0</v>
      </c>
      <c r="T6" s="73">
        <f t="shared" si="1"/>
        <v>0</v>
      </c>
      <c r="U6" s="73">
        <f t="shared" si="1"/>
        <v>0</v>
      </c>
      <c r="V6" s="73">
        <f t="shared" si="1"/>
        <v>0</v>
      </c>
      <c r="W6" s="74">
        <f t="shared" ref="W6:W17" si="2">SUMIF($D$19:$D$900,$D6,W$19:W$900)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24" t="s">
        <v>5</v>
      </c>
      <c r="E7" s="55">
        <f t="shared" si="0"/>
        <v>0</v>
      </c>
      <c r="F7" s="64">
        <f t="shared" ref="F7:F17" si="3">SUMIF($D$19:$D$900,$D7,F$19:F$900)</f>
        <v>0</v>
      </c>
      <c r="G7" s="75">
        <f t="shared" si="1"/>
        <v>0</v>
      </c>
      <c r="H7" s="75">
        <f t="shared" si="1"/>
        <v>0</v>
      </c>
      <c r="I7" s="75">
        <f t="shared" si="1"/>
        <v>0</v>
      </c>
      <c r="J7" s="75">
        <f t="shared" si="1"/>
        <v>0</v>
      </c>
      <c r="K7" s="75">
        <f t="shared" si="1"/>
        <v>0</v>
      </c>
      <c r="L7" s="75">
        <f t="shared" si="1"/>
        <v>0</v>
      </c>
      <c r="M7" s="75">
        <f t="shared" si="1"/>
        <v>0</v>
      </c>
      <c r="N7" s="75">
        <f t="shared" si="1"/>
        <v>0</v>
      </c>
      <c r="O7" s="75">
        <f t="shared" si="1"/>
        <v>0</v>
      </c>
      <c r="P7" s="75">
        <f t="shared" si="1"/>
        <v>0</v>
      </c>
      <c r="Q7" s="75">
        <f t="shared" si="1"/>
        <v>0</v>
      </c>
      <c r="R7" s="75">
        <f t="shared" si="1"/>
        <v>0</v>
      </c>
      <c r="S7" s="75">
        <f t="shared" si="1"/>
        <v>0</v>
      </c>
      <c r="T7" s="75">
        <f t="shared" si="1"/>
        <v>0</v>
      </c>
      <c r="U7" s="75">
        <f t="shared" si="1"/>
        <v>0</v>
      </c>
      <c r="V7" s="75">
        <f t="shared" si="1"/>
        <v>0</v>
      </c>
      <c r="W7" s="66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24" t="s">
        <v>6</v>
      </c>
      <c r="E8" s="55">
        <f t="shared" si="0"/>
        <v>0</v>
      </c>
      <c r="F8" s="64">
        <f t="shared" si="3"/>
        <v>0</v>
      </c>
      <c r="G8" s="75">
        <f t="shared" si="1"/>
        <v>0</v>
      </c>
      <c r="H8" s="75">
        <f t="shared" si="1"/>
        <v>0</v>
      </c>
      <c r="I8" s="75">
        <f t="shared" si="1"/>
        <v>0</v>
      </c>
      <c r="J8" s="75">
        <f t="shared" si="1"/>
        <v>0</v>
      </c>
      <c r="K8" s="75">
        <f t="shared" si="1"/>
        <v>0</v>
      </c>
      <c r="L8" s="75">
        <f t="shared" si="1"/>
        <v>0</v>
      </c>
      <c r="M8" s="75">
        <f t="shared" si="1"/>
        <v>0</v>
      </c>
      <c r="N8" s="75">
        <f t="shared" si="1"/>
        <v>0</v>
      </c>
      <c r="O8" s="75">
        <f t="shared" si="1"/>
        <v>0</v>
      </c>
      <c r="P8" s="75">
        <f t="shared" si="1"/>
        <v>0</v>
      </c>
      <c r="Q8" s="75">
        <f t="shared" si="1"/>
        <v>0</v>
      </c>
      <c r="R8" s="75">
        <f t="shared" si="1"/>
        <v>0</v>
      </c>
      <c r="S8" s="75">
        <f t="shared" si="1"/>
        <v>0</v>
      </c>
      <c r="T8" s="75">
        <f t="shared" si="1"/>
        <v>0</v>
      </c>
      <c r="U8" s="75">
        <f t="shared" si="1"/>
        <v>0</v>
      </c>
      <c r="V8" s="75">
        <f t="shared" si="1"/>
        <v>0</v>
      </c>
      <c r="W8" s="66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3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1"/>
        <v>0</v>
      </c>
      <c r="Q9" s="75">
        <f t="shared" si="1"/>
        <v>0</v>
      </c>
      <c r="R9" s="75">
        <f t="shared" si="1"/>
        <v>0</v>
      </c>
      <c r="S9" s="75">
        <f t="shared" si="1"/>
        <v>0</v>
      </c>
      <c r="T9" s="75">
        <f t="shared" si="1"/>
        <v>0</v>
      </c>
      <c r="U9" s="75">
        <f t="shared" si="1"/>
        <v>0</v>
      </c>
      <c r="V9" s="75">
        <f t="shared" si="1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3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1"/>
        <v>0</v>
      </c>
      <c r="Q10" s="75">
        <f t="shared" si="1"/>
        <v>0</v>
      </c>
      <c r="R10" s="75">
        <f t="shared" si="1"/>
        <v>0</v>
      </c>
      <c r="S10" s="75">
        <f t="shared" si="1"/>
        <v>0</v>
      </c>
      <c r="T10" s="75">
        <f t="shared" si="1"/>
        <v>0</v>
      </c>
      <c r="U10" s="75">
        <f t="shared" si="1"/>
        <v>0</v>
      </c>
      <c r="V10" s="75">
        <f t="shared" si="1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3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1"/>
        <v>0</v>
      </c>
      <c r="Q11" s="75">
        <f t="shared" si="1"/>
        <v>0</v>
      </c>
      <c r="R11" s="75">
        <f t="shared" si="1"/>
        <v>0</v>
      </c>
      <c r="S11" s="75">
        <f t="shared" si="1"/>
        <v>0</v>
      </c>
      <c r="T11" s="75">
        <f t="shared" si="1"/>
        <v>0</v>
      </c>
      <c r="U11" s="75">
        <f t="shared" si="1"/>
        <v>0</v>
      </c>
      <c r="V11" s="75">
        <f t="shared" si="1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3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1"/>
        <v>0</v>
      </c>
      <c r="Q12" s="77">
        <f t="shared" si="1"/>
        <v>0</v>
      </c>
      <c r="R12" s="77">
        <f t="shared" si="1"/>
        <v>0</v>
      </c>
      <c r="S12" s="77">
        <f t="shared" si="1"/>
        <v>0</v>
      </c>
      <c r="T12" s="77">
        <f t="shared" si="1"/>
        <v>0</v>
      </c>
      <c r="U12" s="77">
        <f t="shared" si="1"/>
        <v>0</v>
      </c>
      <c r="V12" s="77">
        <f t="shared" si="1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3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1"/>
        <v>0</v>
      </c>
      <c r="Q13" s="75">
        <f t="shared" si="1"/>
        <v>0</v>
      </c>
      <c r="R13" s="75">
        <f t="shared" si="1"/>
        <v>0</v>
      </c>
      <c r="S13" s="75">
        <f t="shared" si="1"/>
        <v>0</v>
      </c>
      <c r="T13" s="75">
        <f t="shared" si="1"/>
        <v>0</v>
      </c>
      <c r="U13" s="75">
        <f t="shared" si="1"/>
        <v>0</v>
      </c>
      <c r="V13" s="75">
        <f t="shared" si="1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3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1"/>
        <v>0</v>
      </c>
      <c r="Q14" s="75">
        <f t="shared" si="1"/>
        <v>0</v>
      </c>
      <c r="R14" s="75">
        <f t="shared" si="1"/>
        <v>0</v>
      </c>
      <c r="S14" s="75">
        <f t="shared" si="1"/>
        <v>0</v>
      </c>
      <c r="T14" s="75">
        <f t="shared" si="1"/>
        <v>0</v>
      </c>
      <c r="U14" s="75">
        <f t="shared" si="1"/>
        <v>0</v>
      </c>
      <c r="V14" s="75">
        <f t="shared" si="1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3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1"/>
        <v>0</v>
      </c>
      <c r="Q15" s="79">
        <f t="shared" si="1"/>
        <v>0</v>
      </c>
      <c r="R15" s="79">
        <f t="shared" si="1"/>
        <v>0</v>
      </c>
      <c r="S15" s="79">
        <f t="shared" si="1"/>
        <v>0</v>
      </c>
      <c r="T15" s="79">
        <f t="shared" si="1"/>
        <v>0</v>
      </c>
      <c r="U15" s="79">
        <f t="shared" si="1"/>
        <v>0</v>
      </c>
      <c r="V15" s="79">
        <f t="shared" si="1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3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1"/>
        <v>0</v>
      </c>
      <c r="Q16" s="79">
        <f t="shared" si="1"/>
        <v>0</v>
      </c>
      <c r="R16" s="79">
        <f t="shared" si="1"/>
        <v>0</v>
      </c>
      <c r="S16" s="79">
        <f t="shared" si="1"/>
        <v>0</v>
      </c>
      <c r="T16" s="79">
        <f t="shared" si="1"/>
        <v>0</v>
      </c>
      <c r="U16" s="79">
        <f t="shared" si="1"/>
        <v>0</v>
      </c>
      <c r="V16" s="79">
        <f t="shared" si="1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3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1"/>
        <v>0</v>
      </c>
      <c r="Q17" s="68">
        <f t="shared" si="1"/>
        <v>0</v>
      </c>
      <c r="R17" s="68">
        <f t="shared" si="1"/>
        <v>0</v>
      </c>
      <c r="S17" s="68">
        <f t="shared" si="1"/>
        <v>0</v>
      </c>
      <c r="T17" s="68">
        <f t="shared" si="1"/>
        <v>0</v>
      </c>
      <c r="U17" s="68">
        <f t="shared" si="1"/>
        <v>0</v>
      </c>
      <c r="V17" s="68">
        <f t="shared" si="1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ht="14.1" customHeight="1"/>
    <row r="20" spans="1:232" ht="14.1" customHeight="1"/>
    <row r="21" spans="1:232" ht="14.1" customHeight="1"/>
    <row r="22" spans="1:232" ht="14.1" customHeight="1"/>
    <row r="23" spans="1:232" ht="14.1" customHeight="1"/>
    <row r="24" spans="1:232" ht="14.1" customHeight="1"/>
    <row r="25" spans="1:232" ht="14.1" customHeight="1"/>
    <row r="26" spans="1:232" ht="14.1" customHeight="1"/>
    <row r="27" spans="1:232" ht="14.1" customHeight="1"/>
    <row r="28" spans="1:232" ht="14.1" customHeight="1"/>
    <row r="29" spans="1:232" ht="14.1" customHeight="1"/>
    <row r="30" spans="1:232" ht="14.1" customHeight="1"/>
    <row r="31" spans="1:232" ht="14.1" customHeight="1"/>
    <row r="32" spans="1:2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</sheetData>
  <mergeCells count="10">
    <mergeCell ref="U1:W1"/>
    <mergeCell ref="D2:Q2"/>
    <mergeCell ref="U2:W2"/>
    <mergeCell ref="D3:Q3"/>
    <mergeCell ref="U3:W3"/>
    <mergeCell ref="A5:B5"/>
    <mergeCell ref="C5:D5"/>
    <mergeCell ref="A6:A17"/>
    <mergeCell ref="B6:B17"/>
    <mergeCell ref="D1:Q1"/>
  </mergeCells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34D3-54DB-4518-89A4-2A505D954E36}">
  <sheetPr codeName="Sheet7">
    <pageSetUpPr fitToPage="1"/>
  </sheetPr>
  <dimension ref="A1:HX159"/>
  <sheetViews>
    <sheetView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51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45180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42" si="0">SUM(F6:W6)</f>
        <v>0</v>
      </c>
      <c r="F6" s="72">
        <f>SUMIF($D$19:$D$300,$D6,F$19:F$300)</f>
        <v>0</v>
      </c>
      <c r="G6" s="73">
        <f t="shared" ref="G6:V17" si="1">SUMIF($D$19:$D$300,$D6,G$19:G$300)</f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R6" s="73">
        <f t="shared" si="1"/>
        <v>0</v>
      </c>
      <c r="S6" s="73">
        <f t="shared" si="1"/>
        <v>0</v>
      </c>
      <c r="T6" s="73">
        <f t="shared" si="1"/>
        <v>0</v>
      </c>
      <c r="U6" s="73">
        <f t="shared" si="1"/>
        <v>0</v>
      </c>
      <c r="V6" s="73">
        <f t="shared" si="1"/>
        <v>0</v>
      </c>
      <c r="W6" s="74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2">
        <f t="shared" ref="F7:F17" si="3">SUMIF($D$19:$D$300,$D7,F$19:F$300)</f>
        <v>0</v>
      </c>
      <c r="G7" s="79">
        <f t="shared" si="1"/>
        <v>0</v>
      </c>
      <c r="H7" s="79">
        <f t="shared" si="1"/>
        <v>0</v>
      </c>
      <c r="I7" s="79">
        <f t="shared" si="1"/>
        <v>0</v>
      </c>
      <c r="J7" s="79">
        <f t="shared" si="1"/>
        <v>0</v>
      </c>
      <c r="K7" s="79">
        <f t="shared" si="1"/>
        <v>0</v>
      </c>
      <c r="L7" s="79">
        <f t="shared" si="1"/>
        <v>0</v>
      </c>
      <c r="M7" s="79">
        <f t="shared" si="1"/>
        <v>0</v>
      </c>
      <c r="N7" s="79">
        <f t="shared" si="1"/>
        <v>0</v>
      </c>
      <c r="O7" s="79">
        <f t="shared" si="1"/>
        <v>0</v>
      </c>
      <c r="P7" s="79">
        <f t="shared" si="1"/>
        <v>0</v>
      </c>
      <c r="Q7" s="79">
        <f t="shared" si="1"/>
        <v>0</v>
      </c>
      <c r="R7" s="79">
        <f t="shared" si="1"/>
        <v>0</v>
      </c>
      <c r="S7" s="79">
        <f t="shared" si="1"/>
        <v>0</v>
      </c>
      <c r="T7" s="79">
        <f t="shared" si="1"/>
        <v>0</v>
      </c>
      <c r="U7" s="79">
        <f t="shared" si="1"/>
        <v>0</v>
      </c>
      <c r="V7" s="79">
        <f t="shared" si="1"/>
        <v>0</v>
      </c>
      <c r="W7" s="63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2">
        <f t="shared" si="3"/>
        <v>0</v>
      </c>
      <c r="G8" s="79">
        <f t="shared" si="1"/>
        <v>0</v>
      </c>
      <c r="H8" s="79">
        <f t="shared" si="1"/>
        <v>0</v>
      </c>
      <c r="I8" s="79">
        <f t="shared" si="1"/>
        <v>0</v>
      </c>
      <c r="J8" s="79">
        <f t="shared" si="1"/>
        <v>0</v>
      </c>
      <c r="K8" s="79">
        <f t="shared" si="1"/>
        <v>0</v>
      </c>
      <c r="L8" s="79">
        <f t="shared" si="1"/>
        <v>0</v>
      </c>
      <c r="M8" s="79">
        <f t="shared" si="1"/>
        <v>0</v>
      </c>
      <c r="N8" s="79">
        <f t="shared" si="1"/>
        <v>0</v>
      </c>
      <c r="O8" s="79">
        <f t="shared" si="1"/>
        <v>0</v>
      </c>
      <c r="P8" s="79">
        <f t="shared" si="1"/>
        <v>0</v>
      </c>
      <c r="Q8" s="79">
        <f t="shared" si="1"/>
        <v>0</v>
      </c>
      <c r="R8" s="79">
        <f t="shared" si="1"/>
        <v>0</v>
      </c>
      <c r="S8" s="79">
        <f t="shared" si="1"/>
        <v>0</v>
      </c>
      <c r="T8" s="79">
        <f t="shared" si="1"/>
        <v>0</v>
      </c>
      <c r="U8" s="79">
        <f t="shared" si="1"/>
        <v>0</v>
      </c>
      <c r="V8" s="79">
        <f t="shared" si="1"/>
        <v>0</v>
      </c>
      <c r="W8" s="63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3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1"/>
        <v>0</v>
      </c>
      <c r="Q9" s="75">
        <f t="shared" si="1"/>
        <v>0</v>
      </c>
      <c r="R9" s="75">
        <f t="shared" si="1"/>
        <v>0</v>
      </c>
      <c r="S9" s="75">
        <f t="shared" si="1"/>
        <v>0</v>
      </c>
      <c r="T9" s="75">
        <f t="shared" si="1"/>
        <v>0</v>
      </c>
      <c r="U9" s="75">
        <f t="shared" si="1"/>
        <v>0</v>
      </c>
      <c r="V9" s="75">
        <f t="shared" si="1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3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1"/>
        <v>0</v>
      </c>
      <c r="Q10" s="75">
        <f t="shared" si="1"/>
        <v>0</v>
      </c>
      <c r="R10" s="75">
        <f t="shared" si="1"/>
        <v>0</v>
      </c>
      <c r="S10" s="75">
        <f t="shared" si="1"/>
        <v>0</v>
      </c>
      <c r="T10" s="75">
        <f t="shared" si="1"/>
        <v>0</v>
      </c>
      <c r="U10" s="75">
        <f t="shared" si="1"/>
        <v>0</v>
      </c>
      <c r="V10" s="75">
        <f t="shared" si="1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3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1"/>
        <v>0</v>
      </c>
      <c r="Q11" s="75">
        <f t="shared" si="1"/>
        <v>0</v>
      </c>
      <c r="R11" s="75">
        <f t="shared" si="1"/>
        <v>0</v>
      </c>
      <c r="S11" s="75">
        <f t="shared" si="1"/>
        <v>0</v>
      </c>
      <c r="T11" s="75">
        <f t="shared" si="1"/>
        <v>0</v>
      </c>
      <c r="U11" s="75">
        <f t="shared" si="1"/>
        <v>0</v>
      </c>
      <c r="V11" s="75">
        <f t="shared" si="1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3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1"/>
        <v>0</v>
      </c>
      <c r="Q12" s="77">
        <f t="shared" si="1"/>
        <v>0</v>
      </c>
      <c r="R12" s="77">
        <f t="shared" si="1"/>
        <v>0</v>
      </c>
      <c r="S12" s="77">
        <f t="shared" si="1"/>
        <v>0</v>
      </c>
      <c r="T12" s="77">
        <f t="shared" si="1"/>
        <v>0</v>
      </c>
      <c r="U12" s="77">
        <f t="shared" si="1"/>
        <v>0</v>
      </c>
      <c r="V12" s="77">
        <f t="shared" si="1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3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1"/>
        <v>0</v>
      </c>
      <c r="Q13" s="75">
        <f t="shared" si="1"/>
        <v>0</v>
      </c>
      <c r="R13" s="75">
        <f t="shared" si="1"/>
        <v>0</v>
      </c>
      <c r="S13" s="75">
        <f t="shared" si="1"/>
        <v>0</v>
      </c>
      <c r="T13" s="75">
        <f t="shared" si="1"/>
        <v>0</v>
      </c>
      <c r="U13" s="75">
        <f t="shared" si="1"/>
        <v>0</v>
      </c>
      <c r="V13" s="75">
        <f t="shared" si="1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3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1"/>
        <v>0</v>
      </c>
      <c r="Q14" s="75">
        <f t="shared" si="1"/>
        <v>0</v>
      </c>
      <c r="R14" s="75">
        <f t="shared" si="1"/>
        <v>0</v>
      </c>
      <c r="S14" s="75">
        <f t="shared" si="1"/>
        <v>0</v>
      </c>
      <c r="T14" s="75">
        <f t="shared" si="1"/>
        <v>0</v>
      </c>
      <c r="U14" s="75">
        <f t="shared" si="1"/>
        <v>0</v>
      </c>
      <c r="V14" s="75">
        <f t="shared" si="1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3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1"/>
        <v>0</v>
      </c>
      <c r="Q15" s="79">
        <f t="shared" si="1"/>
        <v>0</v>
      </c>
      <c r="R15" s="79">
        <f t="shared" si="1"/>
        <v>0</v>
      </c>
      <c r="S15" s="79">
        <f t="shared" si="1"/>
        <v>0</v>
      </c>
      <c r="T15" s="79">
        <f t="shared" si="1"/>
        <v>0</v>
      </c>
      <c r="U15" s="79">
        <f t="shared" si="1"/>
        <v>0</v>
      </c>
      <c r="V15" s="79">
        <f t="shared" si="1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3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1"/>
        <v>0</v>
      </c>
      <c r="Q16" s="79">
        <f t="shared" si="1"/>
        <v>0</v>
      </c>
      <c r="R16" s="79">
        <f t="shared" si="1"/>
        <v>0</v>
      </c>
      <c r="S16" s="79">
        <f t="shared" si="1"/>
        <v>0</v>
      </c>
      <c r="T16" s="79">
        <f t="shared" si="1"/>
        <v>0</v>
      </c>
      <c r="U16" s="79">
        <f t="shared" si="1"/>
        <v>0</v>
      </c>
      <c r="V16" s="79">
        <f t="shared" si="1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3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1"/>
        <v>0</v>
      </c>
      <c r="Q17" s="68">
        <f t="shared" si="1"/>
        <v>0</v>
      </c>
      <c r="R17" s="68">
        <f t="shared" si="1"/>
        <v>0</v>
      </c>
      <c r="S17" s="68">
        <f t="shared" si="1"/>
        <v>0</v>
      </c>
      <c r="T17" s="68">
        <f t="shared" si="1"/>
        <v>0</v>
      </c>
      <c r="U17" s="68">
        <f t="shared" si="1"/>
        <v>0</v>
      </c>
      <c r="V17" s="68">
        <f t="shared" si="1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si="0"/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0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0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0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0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0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0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0"/>
        <v>0</v>
      </c>
      <c r="F26" s="51">
        <f>SUM(F19:F25)</f>
        <v>0</v>
      </c>
      <c r="G26" s="52">
        <f t="shared" ref="G26:W26" si="4">SUM(G19:G25)</f>
        <v>0</v>
      </c>
      <c r="H26" s="53">
        <f t="shared" si="4"/>
        <v>0</v>
      </c>
      <c r="I26" s="53">
        <f t="shared" si="4"/>
        <v>0</v>
      </c>
      <c r="J26" s="53">
        <f t="shared" si="4"/>
        <v>0</v>
      </c>
      <c r="K26" s="53">
        <f t="shared" si="4"/>
        <v>0</v>
      </c>
      <c r="L26" s="53">
        <f t="shared" si="4"/>
        <v>0</v>
      </c>
      <c r="M26" s="53">
        <f t="shared" si="4"/>
        <v>0</v>
      </c>
      <c r="N26" s="53">
        <f t="shared" si="4"/>
        <v>0</v>
      </c>
      <c r="O26" s="53">
        <f t="shared" si="4"/>
        <v>0</v>
      </c>
      <c r="P26" s="53">
        <f t="shared" si="4"/>
        <v>0</v>
      </c>
      <c r="Q26" s="53">
        <f t="shared" si="4"/>
        <v>0</v>
      </c>
      <c r="R26" s="53">
        <f t="shared" si="4"/>
        <v>0</v>
      </c>
      <c r="S26" s="53">
        <f t="shared" si="4"/>
        <v>0</v>
      </c>
      <c r="T26" s="53">
        <f t="shared" si="4"/>
        <v>0</v>
      </c>
      <c r="U26" s="53">
        <f t="shared" si="4"/>
        <v>0</v>
      </c>
      <c r="V26" s="53">
        <f t="shared" si="4"/>
        <v>0</v>
      </c>
      <c r="W26" s="54">
        <f t="shared" si="4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0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0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0"/>
        <v>0</v>
      </c>
      <c r="F29" s="51">
        <f>F27+F28</f>
        <v>0</v>
      </c>
      <c r="G29" s="52">
        <f t="shared" ref="G29:W29" si="5">G27+G28</f>
        <v>0</v>
      </c>
      <c r="H29" s="53">
        <f t="shared" si="5"/>
        <v>0</v>
      </c>
      <c r="I29" s="53">
        <f t="shared" si="5"/>
        <v>0</v>
      </c>
      <c r="J29" s="53">
        <f t="shared" si="5"/>
        <v>0</v>
      </c>
      <c r="K29" s="53">
        <f t="shared" si="5"/>
        <v>0</v>
      </c>
      <c r="L29" s="53">
        <f t="shared" si="5"/>
        <v>0</v>
      </c>
      <c r="M29" s="53">
        <f t="shared" si="5"/>
        <v>0</v>
      </c>
      <c r="N29" s="53">
        <f t="shared" si="5"/>
        <v>0</v>
      </c>
      <c r="O29" s="53">
        <f t="shared" si="5"/>
        <v>0</v>
      </c>
      <c r="P29" s="53">
        <f t="shared" si="5"/>
        <v>0</v>
      </c>
      <c r="Q29" s="53">
        <f t="shared" si="5"/>
        <v>0</v>
      </c>
      <c r="R29" s="53">
        <f t="shared" si="5"/>
        <v>0</v>
      </c>
      <c r="S29" s="53">
        <f t="shared" si="5"/>
        <v>0</v>
      </c>
      <c r="T29" s="53">
        <f t="shared" si="5"/>
        <v>0</v>
      </c>
      <c r="U29" s="53">
        <f t="shared" si="5"/>
        <v>0</v>
      </c>
      <c r="V29" s="53">
        <f t="shared" si="5"/>
        <v>0</v>
      </c>
      <c r="W29" s="54">
        <f t="shared" si="5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0"/>
        <v>0</v>
      </c>
      <c r="F30" s="58">
        <f>F26-F29</f>
        <v>0</v>
      </c>
      <c r="G30" s="59">
        <f t="shared" ref="G30:W30" si="6">G26-G29</f>
        <v>0</v>
      </c>
      <c r="H30" s="60">
        <f t="shared" si="6"/>
        <v>0</v>
      </c>
      <c r="I30" s="60">
        <f t="shared" si="6"/>
        <v>0</v>
      </c>
      <c r="J30" s="60">
        <f t="shared" si="6"/>
        <v>0</v>
      </c>
      <c r="K30" s="60">
        <f t="shared" si="6"/>
        <v>0</v>
      </c>
      <c r="L30" s="60">
        <f t="shared" si="6"/>
        <v>0</v>
      </c>
      <c r="M30" s="60">
        <f t="shared" si="6"/>
        <v>0</v>
      </c>
      <c r="N30" s="60">
        <f t="shared" si="6"/>
        <v>0</v>
      </c>
      <c r="O30" s="60">
        <f t="shared" si="6"/>
        <v>0</v>
      </c>
      <c r="P30" s="60">
        <f t="shared" si="6"/>
        <v>0</v>
      </c>
      <c r="Q30" s="60">
        <f t="shared" si="6"/>
        <v>0</v>
      </c>
      <c r="R30" s="60">
        <f t="shared" si="6"/>
        <v>0</v>
      </c>
      <c r="S30" s="60">
        <f t="shared" si="6"/>
        <v>0</v>
      </c>
      <c r="T30" s="60">
        <f t="shared" si="6"/>
        <v>0</v>
      </c>
      <c r="U30" s="60">
        <f t="shared" si="6"/>
        <v>0</v>
      </c>
      <c r="V30" s="60">
        <f t="shared" si="6"/>
        <v>0</v>
      </c>
      <c r="W30" s="61">
        <f t="shared" si="6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si="0"/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0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0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0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0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0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0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0"/>
        <v>0</v>
      </c>
      <c r="F38" s="51">
        <f>SUM(F31:F37)</f>
        <v>0</v>
      </c>
      <c r="G38" s="52">
        <f t="shared" ref="G38:W38" si="7">SUM(G31:G37)</f>
        <v>0</v>
      </c>
      <c r="H38" s="53">
        <f t="shared" si="7"/>
        <v>0</v>
      </c>
      <c r="I38" s="53">
        <f t="shared" si="7"/>
        <v>0</v>
      </c>
      <c r="J38" s="53">
        <f t="shared" si="7"/>
        <v>0</v>
      </c>
      <c r="K38" s="53">
        <f t="shared" si="7"/>
        <v>0</v>
      </c>
      <c r="L38" s="53">
        <f t="shared" si="7"/>
        <v>0</v>
      </c>
      <c r="M38" s="53">
        <f t="shared" si="7"/>
        <v>0</v>
      </c>
      <c r="N38" s="53">
        <f t="shared" si="7"/>
        <v>0</v>
      </c>
      <c r="O38" s="53">
        <f t="shared" si="7"/>
        <v>0</v>
      </c>
      <c r="P38" s="53">
        <f t="shared" si="7"/>
        <v>0</v>
      </c>
      <c r="Q38" s="53">
        <f t="shared" si="7"/>
        <v>0</v>
      </c>
      <c r="R38" s="53">
        <f t="shared" si="7"/>
        <v>0</v>
      </c>
      <c r="S38" s="53">
        <f t="shared" si="7"/>
        <v>0</v>
      </c>
      <c r="T38" s="53">
        <f t="shared" si="7"/>
        <v>0</v>
      </c>
      <c r="U38" s="53">
        <f t="shared" si="7"/>
        <v>0</v>
      </c>
      <c r="V38" s="53">
        <f t="shared" si="7"/>
        <v>0</v>
      </c>
      <c r="W38" s="54">
        <f t="shared" si="7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0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0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0"/>
        <v>0</v>
      </c>
      <c r="F41" s="51">
        <f>F39+F40</f>
        <v>0</v>
      </c>
      <c r="G41" s="52">
        <f t="shared" ref="G41:W41" si="8">G39+G40</f>
        <v>0</v>
      </c>
      <c r="H41" s="53">
        <f t="shared" si="8"/>
        <v>0</v>
      </c>
      <c r="I41" s="53">
        <f t="shared" si="8"/>
        <v>0</v>
      </c>
      <c r="J41" s="53">
        <f t="shared" si="8"/>
        <v>0</v>
      </c>
      <c r="K41" s="53">
        <f t="shared" si="8"/>
        <v>0</v>
      </c>
      <c r="L41" s="53">
        <f t="shared" si="8"/>
        <v>0</v>
      </c>
      <c r="M41" s="53">
        <f t="shared" si="8"/>
        <v>0</v>
      </c>
      <c r="N41" s="53">
        <f t="shared" si="8"/>
        <v>0</v>
      </c>
      <c r="O41" s="53">
        <f t="shared" si="8"/>
        <v>0</v>
      </c>
      <c r="P41" s="53">
        <f t="shared" si="8"/>
        <v>0</v>
      </c>
      <c r="Q41" s="53">
        <f t="shared" si="8"/>
        <v>0</v>
      </c>
      <c r="R41" s="53">
        <f t="shared" si="8"/>
        <v>0</v>
      </c>
      <c r="S41" s="53">
        <f t="shared" si="8"/>
        <v>0</v>
      </c>
      <c r="T41" s="53">
        <f t="shared" si="8"/>
        <v>0</v>
      </c>
      <c r="U41" s="53">
        <f t="shared" si="8"/>
        <v>0</v>
      </c>
      <c r="V41" s="53">
        <f t="shared" si="8"/>
        <v>0</v>
      </c>
      <c r="W41" s="54">
        <f t="shared" si="8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0"/>
        <v>0</v>
      </c>
      <c r="F42" s="58">
        <f>F38-F41</f>
        <v>0</v>
      </c>
      <c r="G42" s="59">
        <f t="shared" ref="G42:W42" si="9">G38-G41</f>
        <v>0</v>
      </c>
      <c r="H42" s="60">
        <f t="shared" si="9"/>
        <v>0</v>
      </c>
      <c r="I42" s="60">
        <f t="shared" si="9"/>
        <v>0</v>
      </c>
      <c r="J42" s="60">
        <f t="shared" si="9"/>
        <v>0</v>
      </c>
      <c r="K42" s="60">
        <f t="shared" si="9"/>
        <v>0</v>
      </c>
      <c r="L42" s="60">
        <f t="shared" si="9"/>
        <v>0</v>
      </c>
      <c r="M42" s="60">
        <f t="shared" si="9"/>
        <v>0</v>
      </c>
      <c r="N42" s="60">
        <f t="shared" si="9"/>
        <v>0</v>
      </c>
      <c r="O42" s="60">
        <f t="shared" si="9"/>
        <v>0</v>
      </c>
      <c r="P42" s="60">
        <f t="shared" si="9"/>
        <v>0</v>
      </c>
      <c r="Q42" s="60">
        <f t="shared" si="9"/>
        <v>0</v>
      </c>
      <c r="R42" s="60">
        <f t="shared" si="9"/>
        <v>0</v>
      </c>
      <c r="S42" s="60">
        <f t="shared" si="9"/>
        <v>0</v>
      </c>
      <c r="T42" s="60">
        <f t="shared" si="9"/>
        <v>0</v>
      </c>
      <c r="U42" s="60">
        <f t="shared" si="9"/>
        <v>0</v>
      </c>
      <c r="V42" s="60">
        <f t="shared" si="9"/>
        <v>0</v>
      </c>
      <c r="W42" s="61">
        <f t="shared" si="9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ht="14.1" customHeight="1"/>
    <row r="44" spans="1:232" ht="14.1" customHeight="1"/>
    <row r="45" spans="1:232" ht="14.1" customHeight="1"/>
    <row r="46" spans="1:232" ht="14.1" customHeight="1"/>
    <row r="47" spans="1:232" ht="14.1" customHeight="1"/>
    <row r="48" spans="1:232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</sheetData>
  <mergeCells count="14">
    <mergeCell ref="A31:A42"/>
    <mergeCell ref="B31:B42"/>
    <mergeCell ref="A5:B5"/>
    <mergeCell ref="C5:D5"/>
    <mergeCell ref="A6:A17"/>
    <mergeCell ref="B6:B17"/>
    <mergeCell ref="A19:A30"/>
    <mergeCell ref="B19:B30"/>
    <mergeCell ref="D1:Q1"/>
    <mergeCell ref="U1:W1"/>
    <mergeCell ref="D2:Q2"/>
    <mergeCell ref="U2:W2"/>
    <mergeCell ref="D3:Q3"/>
    <mergeCell ref="U3:W3"/>
  </mergeCells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F32D0-44EA-4385-A9C3-407AEA02002C}">
  <sheetPr codeName="Sheet8">
    <pageSetUpPr fitToPage="1"/>
  </sheetPr>
  <dimension ref="A1:HX159"/>
  <sheetViews>
    <sheetView tabSelected="1"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52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45180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42" si="0">SUM(F6:W6)</f>
        <v>0</v>
      </c>
      <c r="F6" s="72">
        <f>SUMIF($D$19:$D$300,$D6,F$19:F$300)</f>
        <v>0</v>
      </c>
      <c r="G6" s="73">
        <f t="shared" ref="G6:V17" si="1">SUMIF($D$19:$D$300,$D6,G$19:G$300)</f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R6" s="73">
        <f t="shared" si="1"/>
        <v>0</v>
      </c>
      <c r="S6" s="73">
        <f t="shared" si="1"/>
        <v>0</v>
      </c>
      <c r="T6" s="73">
        <f t="shared" si="1"/>
        <v>0</v>
      </c>
      <c r="U6" s="73">
        <f t="shared" si="1"/>
        <v>0</v>
      </c>
      <c r="V6" s="73">
        <f t="shared" si="1"/>
        <v>0</v>
      </c>
      <c r="W6" s="74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2">
        <f t="shared" ref="F7:F17" si="3">SUMIF($D$19:$D$300,$D7,F$19:F$300)</f>
        <v>0</v>
      </c>
      <c r="G7" s="79">
        <f t="shared" si="1"/>
        <v>0</v>
      </c>
      <c r="H7" s="79">
        <f t="shared" si="1"/>
        <v>0</v>
      </c>
      <c r="I7" s="79">
        <f t="shared" si="1"/>
        <v>0</v>
      </c>
      <c r="J7" s="79">
        <f t="shared" si="1"/>
        <v>0</v>
      </c>
      <c r="K7" s="79">
        <f t="shared" si="1"/>
        <v>0</v>
      </c>
      <c r="L7" s="79">
        <f t="shared" si="1"/>
        <v>0</v>
      </c>
      <c r="M7" s="79">
        <f t="shared" si="1"/>
        <v>0</v>
      </c>
      <c r="N7" s="79">
        <f t="shared" si="1"/>
        <v>0</v>
      </c>
      <c r="O7" s="79">
        <f t="shared" si="1"/>
        <v>0</v>
      </c>
      <c r="P7" s="79">
        <f t="shared" si="1"/>
        <v>0</v>
      </c>
      <c r="Q7" s="79">
        <f t="shared" si="1"/>
        <v>0</v>
      </c>
      <c r="R7" s="79">
        <f t="shared" si="1"/>
        <v>0</v>
      </c>
      <c r="S7" s="79">
        <f t="shared" si="1"/>
        <v>0</v>
      </c>
      <c r="T7" s="79">
        <f t="shared" si="1"/>
        <v>0</v>
      </c>
      <c r="U7" s="79">
        <f t="shared" si="1"/>
        <v>0</v>
      </c>
      <c r="V7" s="79">
        <f t="shared" si="1"/>
        <v>0</v>
      </c>
      <c r="W7" s="63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2">
        <f t="shared" si="3"/>
        <v>0</v>
      </c>
      <c r="G8" s="79">
        <f t="shared" si="1"/>
        <v>0</v>
      </c>
      <c r="H8" s="79">
        <f t="shared" si="1"/>
        <v>0</v>
      </c>
      <c r="I8" s="79">
        <f t="shared" si="1"/>
        <v>0</v>
      </c>
      <c r="J8" s="79">
        <f t="shared" si="1"/>
        <v>0</v>
      </c>
      <c r="K8" s="79">
        <f t="shared" si="1"/>
        <v>0</v>
      </c>
      <c r="L8" s="79">
        <f t="shared" si="1"/>
        <v>0</v>
      </c>
      <c r="M8" s="79">
        <f t="shared" si="1"/>
        <v>0</v>
      </c>
      <c r="N8" s="79">
        <f t="shared" si="1"/>
        <v>0</v>
      </c>
      <c r="O8" s="79">
        <f t="shared" si="1"/>
        <v>0</v>
      </c>
      <c r="P8" s="79">
        <f t="shared" si="1"/>
        <v>0</v>
      </c>
      <c r="Q8" s="79">
        <f t="shared" si="1"/>
        <v>0</v>
      </c>
      <c r="R8" s="79">
        <f t="shared" si="1"/>
        <v>0</v>
      </c>
      <c r="S8" s="79">
        <f t="shared" si="1"/>
        <v>0</v>
      </c>
      <c r="T8" s="79">
        <f t="shared" si="1"/>
        <v>0</v>
      </c>
      <c r="U8" s="79">
        <f t="shared" si="1"/>
        <v>0</v>
      </c>
      <c r="V8" s="79">
        <f t="shared" si="1"/>
        <v>0</v>
      </c>
      <c r="W8" s="63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3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1"/>
        <v>0</v>
      </c>
      <c r="Q9" s="75">
        <f t="shared" si="1"/>
        <v>0</v>
      </c>
      <c r="R9" s="75">
        <f t="shared" si="1"/>
        <v>0</v>
      </c>
      <c r="S9" s="75">
        <f t="shared" si="1"/>
        <v>0</v>
      </c>
      <c r="T9" s="75">
        <f t="shared" si="1"/>
        <v>0</v>
      </c>
      <c r="U9" s="75">
        <f t="shared" si="1"/>
        <v>0</v>
      </c>
      <c r="V9" s="75">
        <f t="shared" si="1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3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1"/>
        <v>0</v>
      </c>
      <c r="Q10" s="75">
        <f t="shared" si="1"/>
        <v>0</v>
      </c>
      <c r="R10" s="75">
        <f t="shared" si="1"/>
        <v>0</v>
      </c>
      <c r="S10" s="75">
        <f t="shared" si="1"/>
        <v>0</v>
      </c>
      <c r="T10" s="75">
        <f t="shared" si="1"/>
        <v>0</v>
      </c>
      <c r="U10" s="75">
        <f t="shared" si="1"/>
        <v>0</v>
      </c>
      <c r="V10" s="75">
        <f t="shared" si="1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3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1"/>
        <v>0</v>
      </c>
      <c r="Q11" s="75">
        <f t="shared" si="1"/>
        <v>0</v>
      </c>
      <c r="R11" s="75">
        <f t="shared" si="1"/>
        <v>0</v>
      </c>
      <c r="S11" s="75">
        <f t="shared" si="1"/>
        <v>0</v>
      </c>
      <c r="T11" s="75">
        <f t="shared" si="1"/>
        <v>0</v>
      </c>
      <c r="U11" s="75">
        <f t="shared" si="1"/>
        <v>0</v>
      </c>
      <c r="V11" s="75">
        <f t="shared" si="1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3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1"/>
        <v>0</v>
      </c>
      <c r="Q12" s="77">
        <f t="shared" si="1"/>
        <v>0</v>
      </c>
      <c r="R12" s="77">
        <f t="shared" si="1"/>
        <v>0</v>
      </c>
      <c r="S12" s="77">
        <f t="shared" si="1"/>
        <v>0</v>
      </c>
      <c r="T12" s="77">
        <f t="shared" si="1"/>
        <v>0</v>
      </c>
      <c r="U12" s="77">
        <f t="shared" si="1"/>
        <v>0</v>
      </c>
      <c r="V12" s="77">
        <f t="shared" si="1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3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1"/>
        <v>0</v>
      </c>
      <c r="Q13" s="75">
        <f t="shared" si="1"/>
        <v>0</v>
      </c>
      <c r="R13" s="75">
        <f t="shared" si="1"/>
        <v>0</v>
      </c>
      <c r="S13" s="75">
        <f t="shared" si="1"/>
        <v>0</v>
      </c>
      <c r="T13" s="75">
        <f t="shared" si="1"/>
        <v>0</v>
      </c>
      <c r="U13" s="75">
        <f t="shared" si="1"/>
        <v>0</v>
      </c>
      <c r="V13" s="75">
        <f t="shared" si="1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3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1"/>
        <v>0</v>
      </c>
      <c r="Q14" s="75">
        <f t="shared" si="1"/>
        <v>0</v>
      </c>
      <c r="R14" s="75">
        <f t="shared" si="1"/>
        <v>0</v>
      </c>
      <c r="S14" s="75">
        <f t="shared" si="1"/>
        <v>0</v>
      </c>
      <c r="T14" s="75">
        <f t="shared" si="1"/>
        <v>0</v>
      </c>
      <c r="U14" s="75">
        <f t="shared" si="1"/>
        <v>0</v>
      </c>
      <c r="V14" s="75">
        <f t="shared" si="1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3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1"/>
        <v>0</v>
      </c>
      <c r="Q15" s="79">
        <f t="shared" si="1"/>
        <v>0</v>
      </c>
      <c r="R15" s="79">
        <f t="shared" si="1"/>
        <v>0</v>
      </c>
      <c r="S15" s="79">
        <f t="shared" si="1"/>
        <v>0</v>
      </c>
      <c r="T15" s="79">
        <f t="shared" si="1"/>
        <v>0</v>
      </c>
      <c r="U15" s="79">
        <f t="shared" si="1"/>
        <v>0</v>
      </c>
      <c r="V15" s="79">
        <f t="shared" si="1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3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1"/>
        <v>0</v>
      </c>
      <c r="Q16" s="79">
        <f t="shared" si="1"/>
        <v>0</v>
      </c>
      <c r="R16" s="79">
        <f t="shared" si="1"/>
        <v>0</v>
      </c>
      <c r="S16" s="79">
        <f t="shared" si="1"/>
        <v>0</v>
      </c>
      <c r="T16" s="79">
        <f t="shared" si="1"/>
        <v>0</v>
      </c>
      <c r="U16" s="79">
        <f t="shared" si="1"/>
        <v>0</v>
      </c>
      <c r="V16" s="79">
        <f t="shared" si="1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3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1"/>
        <v>0</v>
      </c>
      <c r="Q17" s="68">
        <f t="shared" si="1"/>
        <v>0</v>
      </c>
      <c r="R17" s="68">
        <f t="shared" si="1"/>
        <v>0</v>
      </c>
      <c r="S17" s="68">
        <f t="shared" si="1"/>
        <v>0</v>
      </c>
      <c r="T17" s="68">
        <f t="shared" si="1"/>
        <v>0</v>
      </c>
      <c r="U17" s="68">
        <f t="shared" si="1"/>
        <v>0</v>
      </c>
      <c r="V17" s="68">
        <f t="shared" si="1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si="0"/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0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0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0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0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0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0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0"/>
        <v>0</v>
      </c>
      <c r="F26" s="51">
        <f>SUM(F19:F25)</f>
        <v>0</v>
      </c>
      <c r="G26" s="52">
        <f t="shared" ref="G26:W26" si="4">SUM(G19:G25)</f>
        <v>0</v>
      </c>
      <c r="H26" s="53">
        <f t="shared" si="4"/>
        <v>0</v>
      </c>
      <c r="I26" s="53">
        <f t="shared" si="4"/>
        <v>0</v>
      </c>
      <c r="J26" s="53">
        <f t="shared" si="4"/>
        <v>0</v>
      </c>
      <c r="K26" s="53">
        <f t="shared" si="4"/>
        <v>0</v>
      </c>
      <c r="L26" s="53">
        <f t="shared" si="4"/>
        <v>0</v>
      </c>
      <c r="M26" s="53">
        <f t="shared" si="4"/>
        <v>0</v>
      </c>
      <c r="N26" s="53">
        <f t="shared" si="4"/>
        <v>0</v>
      </c>
      <c r="O26" s="53">
        <f t="shared" si="4"/>
        <v>0</v>
      </c>
      <c r="P26" s="53">
        <f t="shared" si="4"/>
        <v>0</v>
      </c>
      <c r="Q26" s="53">
        <f t="shared" si="4"/>
        <v>0</v>
      </c>
      <c r="R26" s="53">
        <f t="shared" si="4"/>
        <v>0</v>
      </c>
      <c r="S26" s="53">
        <f t="shared" si="4"/>
        <v>0</v>
      </c>
      <c r="T26" s="53">
        <f t="shared" si="4"/>
        <v>0</v>
      </c>
      <c r="U26" s="53">
        <f t="shared" si="4"/>
        <v>0</v>
      </c>
      <c r="V26" s="53">
        <f t="shared" si="4"/>
        <v>0</v>
      </c>
      <c r="W26" s="54">
        <f t="shared" si="4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0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0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0"/>
        <v>0</v>
      </c>
      <c r="F29" s="51">
        <f>F27+F28</f>
        <v>0</v>
      </c>
      <c r="G29" s="52">
        <f t="shared" ref="G29:W29" si="5">G27+G28</f>
        <v>0</v>
      </c>
      <c r="H29" s="53">
        <f t="shared" si="5"/>
        <v>0</v>
      </c>
      <c r="I29" s="53">
        <f t="shared" si="5"/>
        <v>0</v>
      </c>
      <c r="J29" s="53">
        <f t="shared" si="5"/>
        <v>0</v>
      </c>
      <c r="K29" s="53">
        <f t="shared" si="5"/>
        <v>0</v>
      </c>
      <c r="L29" s="53">
        <f t="shared" si="5"/>
        <v>0</v>
      </c>
      <c r="M29" s="53">
        <f t="shared" si="5"/>
        <v>0</v>
      </c>
      <c r="N29" s="53">
        <f t="shared" si="5"/>
        <v>0</v>
      </c>
      <c r="O29" s="53">
        <f t="shared" si="5"/>
        <v>0</v>
      </c>
      <c r="P29" s="53">
        <f t="shared" si="5"/>
        <v>0</v>
      </c>
      <c r="Q29" s="53">
        <f t="shared" si="5"/>
        <v>0</v>
      </c>
      <c r="R29" s="53">
        <f t="shared" si="5"/>
        <v>0</v>
      </c>
      <c r="S29" s="53">
        <f t="shared" si="5"/>
        <v>0</v>
      </c>
      <c r="T29" s="53">
        <f t="shared" si="5"/>
        <v>0</v>
      </c>
      <c r="U29" s="53">
        <f t="shared" si="5"/>
        <v>0</v>
      </c>
      <c r="V29" s="53">
        <f t="shared" si="5"/>
        <v>0</v>
      </c>
      <c r="W29" s="54">
        <f t="shared" si="5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0"/>
        <v>0</v>
      </c>
      <c r="F30" s="58">
        <f>F26-F29</f>
        <v>0</v>
      </c>
      <c r="G30" s="59">
        <f t="shared" ref="G30:W30" si="6">G26-G29</f>
        <v>0</v>
      </c>
      <c r="H30" s="60">
        <f t="shared" si="6"/>
        <v>0</v>
      </c>
      <c r="I30" s="60">
        <f t="shared" si="6"/>
        <v>0</v>
      </c>
      <c r="J30" s="60">
        <f t="shared" si="6"/>
        <v>0</v>
      </c>
      <c r="K30" s="60">
        <f t="shared" si="6"/>
        <v>0</v>
      </c>
      <c r="L30" s="60">
        <f t="shared" si="6"/>
        <v>0</v>
      </c>
      <c r="M30" s="60">
        <f t="shared" si="6"/>
        <v>0</v>
      </c>
      <c r="N30" s="60">
        <f t="shared" si="6"/>
        <v>0</v>
      </c>
      <c r="O30" s="60">
        <f t="shared" si="6"/>
        <v>0</v>
      </c>
      <c r="P30" s="60">
        <f t="shared" si="6"/>
        <v>0</v>
      </c>
      <c r="Q30" s="60">
        <f t="shared" si="6"/>
        <v>0</v>
      </c>
      <c r="R30" s="60">
        <f t="shared" si="6"/>
        <v>0</v>
      </c>
      <c r="S30" s="60">
        <f t="shared" si="6"/>
        <v>0</v>
      </c>
      <c r="T30" s="60">
        <f t="shared" si="6"/>
        <v>0</v>
      </c>
      <c r="U30" s="60">
        <f t="shared" si="6"/>
        <v>0</v>
      </c>
      <c r="V30" s="60">
        <f t="shared" si="6"/>
        <v>0</v>
      </c>
      <c r="W30" s="61">
        <f t="shared" si="6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si="0"/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0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0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0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0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0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0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0"/>
        <v>0</v>
      </c>
      <c r="F38" s="51">
        <f>SUM(F31:F37)</f>
        <v>0</v>
      </c>
      <c r="G38" s="52">
        <f t="shared" ref="G38:W38" si="7">SUM(G31:G37)</f>
        <v>0</v>
      </c>
      <c r="H38" s="53">
        <f t="shared" si="7"/>
        <v>0</v>
      </c>
      <c r="I38" s="53">
        <f t="shared" si="7"/>
        <v>0</v>
      </c>
      <c r="J38" s="53">
        <f t="shared" si="7"/>
        <v>0</v>
      </c>
      <c r="K38" s="53">
        <f t="shared" si="7"/>
        <v>0</v>
      </c>
      <c r="L38" s="53">
        <f t="shared" si="7"/>
        <v>0</v>
      </c>
      <c r="M38" s="53">
        <f t="shared" si="7"/>
        <v>0</v>
      </c>
      <c r="N38" s="53">
        <f t="shared" si="7"/>
        <v>0</v>
      </c>
      <c r="O38" s="53">
        <f t="shared" si="7"/>
        <v>0</v>
      </c>
      <c r="P38" s="53">
        <f t="shared" si="7"/>
        <v>0</v>
      </c>
      <c r="Q38" s="53">
        <f t="shared" si="7"/>
        <v>0</v>
      </c>
      <c r="R38" s="53">
        <f t="shared" si="7"/>
        <v>0</v>
      </c>
      <c r="S38" s="53">
        <f t="shared" si="7"/>
        <v>0</v>
      </c>
      <c r="T38" s="53">
        <f t="shared" si="7"/>
        <v>0</v>
      </c>
      <c r="U38" s="53">
        <f t="shared" si="7"/>
        <v>0</v>
      </c>
      <c r="V38" s="53">
        <f t="shared" si="7"/>
        <v>0</v>
      </c>
      <c r="W38" s="54">
        <f t="shared" si="7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0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0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0"/>
        <v>0</v>
      </c>
      <c r="F41" s="51">
        <f>F39+F40</f>
        <v>0</v>
      </c>
      <c r="G41" s="52">
        <f t="shared" ref="G41:W41" si="8">G39+G40</f>
        <v>0</v>
      </c>
      <c r="H41" s="53">
        <f t="shared" si="8"/>
        <v>0</v>
      </c>
      <c r="I41" s="53">
        <f t="shared" si="8"/>
        <v>0</v>
      </c>
      <c r="J41" s="53">
        <f t="shared" si="8"/>
        <v>0</v>
      </c>
      <c r="K41" s="53">
        <f t="shared" si="8"/>
        <v>0</v>
      </c>
      <c r="L41" s="53">
        <f t="shared" si="8"/>
        <v>0</v>
      </c>
      <c r="M41" s="53">
        <f t="shared" si="8"/>
        <v>0</v>
      </c>
      <c r="N41" s="53">
        <f t="shared" si="8"/>
        <v>0</v>
      </c>
      <c r="O41" s="53">
        <f t="shared" si="8"/>
        <v>0</v>
      </c>
      <c r="P41" s="53">
        <f t="shared" si="8"/>
        <v>0</v>
      </c>
      <c r="Q41" s="53">
        <f t="shared" si="8"/>
        <v>0</v>
      </c>
      <c r="R41" s="53">
        <f t="shared" si="8"/>
        <v>0</v>
      </c>
      <c r="S41" s="53">
        <f t="shared" si="8"/>
        <v>0</v>
      </c>
      <c r="T41" s="53">
        <f t="shared" si="8"/>
        <v>0</v>
      </c>
      <c r="U41" s="53">
        <f t="shared" si="8"/>
        <v>0</v>
      </c>
      <c r="V41" s="53">
        <f t="shared" si="8"/>
        <v>0</v>
      </c>
      <c r="W41" s="54">
        <f t="shared" si="8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0"/>
        <v>0</v>
      </c>
      <c r="F42" s="58">
        <f>F38-F41</f>
        <v>0</v>
      </c>
      <c r="G42" s="59">
        <f t="shared" ref="G42:W42" si="9">G38-G41</f>
        <v>0</v>
      </c>
      <c r="H42" s="60">
        <f t="shared" si="9"/>
        <v>0</v>
      </c>
      <c r="I42" s="60">
        <f t="shared" si="9"/>
        <v>0</v>
      </c>
      <c r="J42" s="60">
        <f t="shared" si="9"/>
        <v>0</v>
      </c>
      <c r="K42" s="60">
        <f t="shared" si="9"/>
        <v>0</v>
      </c>
      <c r="L42" s="60">
        <f t="shared" si="9"/>
        <v>0</v>
      </c>
      <c r="M42" s="60">
        <f t="shared" si="9"/>
        <v>0</v>
      </c>
      <c r="N42" s="60">
        <f t="shared" si="9"/>
        <v>0</v>
      </c>
      <c r="O42" s="60">
        <f t="shared" si="9"/>
        <v>0</v>
      </c>
      <c r="P42" s="60">
        <f t="shared" si="9"/>
        <v>0</v>
      </c>
      <c r="Q42" s="60">
        <f t="shared" si="9"/>
        <v>0</v>
      </c>
      <c r="R42" s="60">
        <f t="shared" si="9"/>
        <v>0</v>
      </c>
      <c r="S42" s="60">
        <f t="shared" si="9"/>
        <v>0</v>
      </c>
      <c r="T42" s="60">
        <f t="shared" si="9"/>
        <v>0</v>
      </c>
      <c r="U42" s="60">
        <f t="shared" si="9"/>
        <v>0</v>
      </c>
      <c r="V42" s="60">
        <f t="shared" si="9"/>
        <v>0</v>
      </c>
      <c r="W42" s="61">
        <f t="shared" si="9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ht="14.1" customHeight="1"/>
    <row r="44" spans="1:232" ht="14.1" customHeight="1"/>
    <row r="45" spans="1:232" ht="14.1" customHeight="1"/>
    <row r="46" spans="1:232" ht="14.1" customHeight="1"/>
    <row r="47" spans="1:232" ht="14.1" customHeight="1"/>
    <row r="48" spans="1:232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</sheetData>
  <mergeCells count="14">
    <mergeCell ref="D1:Q1"/>
    <mergeCell ref="U1:W1"/>
    <mergeCell ref="D2:Q2"/>
    <mergeCell ref="U2:W2"/>
    <mergeCell ref="D3:Q3"/>
    <mergeCell ref="U3:W3"/>
    <mergeCell ref="A31:A42"/>
    <mergeCell ref="B31:B42"/>
    <mergeCell ref="A5:B5"/>
    <mergeCell ref="C5:D5"/>
    <mergeCell ref="A6:A17"/>
    <mergeCell ref="B6:B17"/>
    <mergeCell ref="A19:A30"/>
    <mergeCell ref="B19:B30"/>
  </mergeCells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DF564DD-0A8B-4D33-8669-FDF8742962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DEAF49-6A6E-453A-A1F2-F4337538F01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1A30E0C-8A87-4F2E-B1C1-28540623B0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SUMMARY</vt:lpstr>
      <vt:lpstr>Engg</vt:lpstr>
      <vt:lpstr>Projconst</vt:lpstr>
      <vt:lpstr>Procure</vt:lpstr>
      <vt:lpstr>Construction</vt:lpstr>
      <vt:lpstr>Combined M + D</vt:lpstr>
      <vt:lpstr>Mumbai</vt:lpstr>
      <vt:lpstr>Delhi</vt:lpstr>
      <vt:lpstr>'Combined M + D'!Print_Area</vt:lpstr>
      <vt:lpstr>Construction!Print_Area</vt:lpstr>
      <vt:lpstr>Delhi!Print_Area</vt:lpstr>
      <vt:lpstr>Engg!Print_Area</vt:lpstr>
      <vt:lpstr>Mumbai!Print_Area</vt:lpstr>
      <vt:lpstr>Procure!Print_Area</vt:lpstr>
      <vt:lpstr>Projconst!Print_Area</vt:lpstr>
      <vt:lpstr>SUMMARY!Print_Area</vt:lpstr>
      <vt:lpstr>'Combined M + D'!Print_Titles</vt:lpstr>
      <vt:lpstr>Construction!Print_Titles</vt:lpstr>
      <vt:lpstr>Delhi!Print_Titles</vt:lpstr>
      <vt:lpstr>Engg!Print_Titles</vt:lpstr>
      <vt:lpstr>Mumbai!Print_Titles</vt:lpstr>
      <vt:lpstr>Procure!Print_Titles</vt:lpstr>
      <vt:lpstr>Projconst!Print_Titles</vt:lpstr>
      <vt:lpstr>SUMMARY!Print_Titles</vt:lpstr>
    </vt:vector>
  </TitlesOfParts>
  <Company>Tecnimont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Guptam</dc:creator>
  <cp:lastModifiedBy>Mistry Abhishek</cp:lastModifiedBy>
  <cp:lastPrinted>2015-11-18T07:05:43Z</cp:lastPrinted>
  <dcterms:created xsi:type="dcterms:W3CDTF">2001-01-10T16:57:33Z</dcterms:created>
  <dcterms:modified xsi:type="dcterms:W3CDTF">2023-09-11T04:07:51Z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2022-04-14T05:34:25Z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05cd1ab2-e1fa-4e88-9aa3-18a66748a6a6</vt:lpwstr>
  </property>
  <property fmtid="{D5CDD505-2E9C-101B-9397-08002B2CF9AE}" pid="9" name="MSIP_Label_e18d9558-26a3-4f93-8788-04a494c05692_ContentBits">
    <vt:lpwstr>0</vt:lpwstr>
  </property>
</Properties>
</file>