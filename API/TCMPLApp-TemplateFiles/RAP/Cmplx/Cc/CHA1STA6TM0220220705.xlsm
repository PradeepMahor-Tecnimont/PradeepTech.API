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Cc\"/>
    </mc:Choice>
  </mc:AlternateContent>
  <xr:revisionPtr revIDLastSave="0" documentId="13_ncr:1_{9C4AA72E-531B-4150-AEA1-6C5F3B450F76}" xr6:coauthVersionLast="47" xr6:coauthVersionMax="47" xr10:uidLastSave="{00000000-0000-0000-0000-000000000000}"/>
  <bookViews>
    <workbookView xWindow="-120" yWindow="-120" windowWidth="29040" windowHeight="15840" tabRatio="765" activeTab="4" xr2:uid="{00000000-000D-0000-FFFF-FFFF00000000}"/>
  </bookViews>
  <sheets>
    <sheet name="Help" sheetId="1" r:id="rId1"/>
    <sheet name="Module1" sheetId="2" state="veryHidden" r:id="rId2"/>
    <sheet name="CHA1E" sheetId="16" r:id="rId3"/>
    <sheet name="STA6" sheetId="5" r:id="rId4"/>
    <sheet name="STA6_1" sheetId="7" r:id="rId5"/>
    <sheet name="STA6_2" sheetId="8" r:id="rId6"/>
    <sheet name="TM02" sheetId="6" r:id="rId7"/>
    <sheet name="TM02_1" sheetId="9" r:id="rId8"/>
    <sheet name="ACT01" sheetId="11" r:id="rId9"/>
    <sheet name="ACT02" sheetId="15" r:id="rId10"/>
  </sheets>
  <definedNames>
    <definedName name="ACT01_Data">'ACT01'!$A$12:$R$13</definedName>
    <definedName name="ACT01_Heading">'ACT01'!$E$10:$P$10</definedName>
    <definedName name="Cha1e_chart_location">CHA1E!$A$67</definedName>
    <definedName name="Cha1e_Future">CHA1E!$A$32:$X$33</definedName>
    <definedName name="Cha1e_Project">CHA1E!$A$23:$X$24</definedName>
    <definedName name="Cha1e_ser_a">CHA1E!$E$44:$V$44</definedName>
    <definedName name="Cha1e_ser_a_title">CHA1E!$A$44</definedName>
    <definedName name="Cha1e_ser_c">CHA1E!$E$45:$V$45</definedName>
    <definedName name="Cha1e_ser_c_title">CHA1E!$A$45</definedName>
    <definedName name="Cha1e_ser_d">CHA1E!$E$47:$V$47</definedName>
    <definedName name="Cha1e_ser_d_title">CHA1E!$A$47</definedName>
    <definedName name="Cha1e_ser_g">CHA1E!$E$46:$V$46</definedName>
    <definedName name="Cha1e_ser_g_title">CHA1E!$A$46</definedName>
    <definedName name="Cha1e_ser_h">CHA1E!$E$48:$V$48</definedName>
    <definedName name="Cha1e_ser_h_title">CHA1E!$A$48</definedName>
    <definedName name="Cha1e_ser_k">CHA1E!$E$49:$V$49</definedName>
    <definedName name="Cha1e_ser_k_title">CHA1E!$A$49</definedName>
    <definedName name="Cha1e_ser_n">CHA1E!$E$63:$V$63</definedName>
    <definedName name="Cha1e_ser_n_title">CHA1E!$A$63</definedName>
    <definedName name="Cha1e_Subcontract">CHA1E!$E$54:$V$54</definedName>
    <definedName name="Cha1e_x_axis">CHA1E!$E$9:$V$9</definedName>
    <definedName name="mend" localSheetId="9">'STA6'!#REF!</definedName>
    <definedName name="mend" localSheetId="4">STA6_1!#REF!</definedName>
    <definedName name="mend" localSheetId="5">STA6_2!#REF!</definedName>
    <definedName name="mend">'STA6'!#REF!</definedName>
    <definedName name="_xlnm.Print_Area" localSheetId="8">'ACT01'!$A$1:$R$13</definedName>
    <definedName name="_xlnm.Print_Area" localSheetId="0">Help!$A$1:$H$104</definedName>
    <definedName name="_xlnm.Print_Area" localSheetId="3">'STA6'!$A$1:$N$22</definedName>
    <definedName name="_xlnm.Print_Area" localSheetId="4">STA6_1!$A$1:$N$13</definedName>
    <definedName name="_xlnm.Print_Area" localSheetId="5">STA6_2!$A$1:$N$13</definedName>
    <definedName name="_xlnm.Print_Area" localSheetId="6">'TM02'!$B$1:$AD$24</definedName>
    <definedName name="_xlnm.Print_Area" localSheetId="7">TM02_1!$B$1:$AD$24</definedName>
    <definedName name="_xlnm.Print_Titles" localSheetId="8">'ACT01'!$8:$12</definedName>
    <definedName name="_xlnm.Print_Titles" localSheetId="9">'ACT02'!$8:$11</definedName>
    <definedName name="_xlnm.Print_Titles" localSheetId="0">Help!$1:$6</definedName>
    <definedName name="_xlnm.Print_Titles" localSheetId="3">'STA6'!$9:$10</definedName>
    <definedName name="_xlnm.Print_Titles" localSheetId="4">STA6_1!$9:$10</definedName>
    <definedName name="_xlnm.Print_Titles" localSheetId="5">STA6_2!$9:$10</definedName>
    <definedName name="_xlnm.Print_Titles" localSheetId="6">'TM02'!$1:$12</definedName>
    <definedName name="_xlnm.Print_Titles" localSheetId="7">TM02_1!$1:$12</definedName>
    <definedName name="STA6_1_Data">STA6_1!$A$12:$N$13</definedName>
    <definedName name="STA6_2_Data">STA6_2!$A$12:$N$13</definedName>
    <definedName name="STA6_Data">'STA6'!$A$12:$N$13</definedName>
    <definedName name="STA6_NotSub_Data">'STA6'!$A$17:$M$18</definedName>
    <definedName name="STA6_Odd_Data">'STA6'!$A$21:$M$22</definedName>
    <definedName name="TM02_1_Data">TM02_1!$B$14:$AD$15</definedName>
    <definedName name="TM02_1_EmpType_Hrs_Data">TM02_1!$C$21:$E$22</definedName>
    <definedName name="TM02_1_Heading">TM02_1!$N$11:$Y$11</definedName>
    <definedName name="TM02_Data">'TM02'!$B$14:$AD$15</definedName>
    <definedName name="TM02_EmpType_Hrs_Data">'TM02'!$C$21:$E$22</definedName>
    <definedName name="TM02_Heading">'TM02'!$N$11:$Y$11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5" l="1"/>
  <c r="L6" i="15"/>
  <c r="M7" i="11"/>
  <c r="M6" i="11"/>
  <c r="X7" i="9"/>
  <c r="X6" i="9"/>
  <c r="X7" i="6"/>
  <c r="X6" i="6"/>
  <c r="J7" i="8"/>
  <c r="J6" i="8"/>
  <c r="J7" i="7"/>
  <c r="J6" i="7"/>
  <c r="J7" i="5"/>
  <c r="J6" i="5"/>
  <c r="C6" i="15"/>
  <c r="C6" i="11"/>
  <c r="D6" i="9"/>
  <c r="D6" i="6"/>
  <c r="E6" i="8"/>
  <c r="E6" i="7"/>
  <c r="E6" i="5"/>
  <c r="P5" i="15"/>
  <c r="P3" i="15"/>
  <c r="P2" i="15"/>
  <c r="P5" i="11"/>
  <c r="P3" i="11"/>
  <c r="P2" i="11"/>
  <c r="Z5" i="9"/>
  <c r="Z3" i="9"/>
  <c r="Z2" i="9"/>
  <c r="AA5" i="6"/>
  <c r="AA3" i="6"/>
  <c r="AA2" i="6"/>
  <c r="M4" i="8"/>
  <c r="M3" i="8"/>
  <c r="M2" i="8"/>
  <c r="M4" i="7"/>
  <c r="M3" i="7"/>
  <c r="M2" i="7"/>
  <c r="M4" i="5"/>
  <c r="M3" i="5"/>
  <c r="M2" i="5"/>
  <c r="W54" i="16" l="1"/>
  <c r="F47" i="16"/>
  <c r="F64" i="16" s="1"/>
  <c r="U44" i="16"/>
  <c r="R43" i="16"/>
  <c r="R59" i="16" s="1"/>
  <c r="F43" i="16"/>
  <c r="F59" i="16" s="1"/>
  <c r="W40" i="16"/>
  <c r="V40" i="16"/>
  <c r="U40" i="16"/>
  <c r="T40" i="16"/>
  <c r="S40" i="16"/>
  <c r="R40" i="16"/>
  <c r="Q40" i="16"/>
  <c r="P40" i="16"/>
  <c r="O40" i="16"/>
  <c r="N40" i="16"/>
  <c r="M40" i="16"/>
  <c r="L40" i="16"/>
  <c r="K40" i="16"/>
  <c r="J40" i="16"/>
  <c r="I40" i="16"/>
  <c r="H40" i="16"/>
  <c r="G40" i="16"/>
  <c r="F40" i="16"/>
  <c r="E40" i="16"/>
  <c r="V39" i="16"/>
  <c r="V41" i="16" s="1"/>
  <c r="U39" i="16"/>
  <c r="T39" i="16"/>
  <c r="T41" i="16" s="1"/>
  <c r="S39" i="16"/>
  <c r="S41" i="16" s="1"/>
  <c r="R39" i="16"/>
  <c r="R41" i="16" s="1"/>
  <c r="Q39" i="16"/>
  <c r="Q41" i="16" s="1"/>
  <c r="P39" i="16"/>
  <c r="P41" i="16" s="1"/>
  <c r="O39" i="16"/>
  <c r="O41" i="16" s="1"/>
  <c r="N39" i="16"/>
  <c r="N41" i="16" s="1"/>
  <c r="M39" i="16"/>
  <c r="M41" i="16" s="1"/>
  <c r="L39" i="16"/>
  <c r="L41" i="16" s="1"/>
  <c r="K39" i="16"/>
  <c r="K41" i="16" s="1"/>
  <c r="J39" i="16"/>
  <c r="J41" i="16" s="1"/>
  <c r="I39" i="16"/>
  <c r="H39" i="16"/>
  <c r="H41" i="16" s="1"/>
  <c r="G39" i="16"/>
  <c r="G41" i="16" s="1"/>
  <c r="F39" i="16"/>
  <c r="E39" i="16"/>
  <c r="E41" i="16" s="1"/>
  <c r="W38" i="16"/>
  <c r="W37" i="16"/>
  <c r="W36" i="16"/>
  <c r="W35" i="16"/>
  <c r="W32" i="16"/>
  <c r="M31" i="16"/>
  <c r="V28" i="16"/>
  <c r="V49" i="16" s="1"/>
  <c r="U28" i="16"/>
  <c r="T28" i="16"/>
  <c r="T49" i="16" s="1"/>
  <c r="S28" i="16"/>
  <c r="S47" i="16" s="1"/>
  <c r="S64" i="16" s="1"/>
  <c r="R28" i="16"/>
  <c r="R48" i="16" s="1"/>
  <c r="R65" i="16" s="1"/>
  <c r="Q28" i="16"/>
  <c r="Q48" i="16" s="1"/>
  <c r="P28" i="16"/>
  <c r="O28" i="16"/>
  <c r="O47" i="16" s="1"/>
  <c r="O64" i="16" s="1"/>
  <c r="N28" i="16"/>
  <c r="N49" i="16" s="1"/>
  <c r="M28" i="16"/>
  <c r="M47" i="16" s="1"/>
  <c r="M64" i="16" s="1"/>
  <c r="L28" i="16"/>
  <c r="L48" i="16" s="1"/>
  <c r="K28" i="16"/>
  <c r="J28" i="16"/>
  <c r="J49" i="16" s="1"/>
  <c r="I28" i="16"/>
  <c r="H28" i="16"/>
  <c r="H49" i="16" s="1"/>
  <c r="G28" i="16"/>
  <c r="G47" i="16" s="1"/>
  <c r="G64" i="16" s="1"/>
  <c r="F28" i="16"/>
  <c r="F48" i="16" s="1"/>
  <c r="E28" i="16"/>
  <c r="E48" i="16" s="1"/>
  <c r="W27" i="16"/>
  <c r="W26" i="16"/>
  <c r="W25" i="16"/>
  <c r="W23" i="16"/>
  <c r="W22" i="16"/>
  <c r="W43" i="16" s="1"/>
  <c r="W59" i="16" s="1"/>
  <c r="V22" i="16"/>
  <c r="V43" i="16" s="1"/>
  <c r="V59" i="16" s="1"/>
  <c r="U22" i="16"/>
  <c r="U43" i="16" s="1"/>
  <c r="U59" i="16" s="1"/>
  <c r="T22" i="16"/>
  <c r="T43" i="16" s="1"/>
  <c r="T59" i="16" s="1"/>
  <c r="S22" i="16"/>
  <c r="S31" i="16" s="1"/>
  <c r="R22" i="16"/>
  <c r="R31" i="16" s="1"/>
  <c r="Q22" i="16"/>
  <c r="Q43" i="16" s="1"/>
  <c r="Q59" i="16" s="1"/>
  <c r="P22" i="16"/>
  <c r="P31" i="16" s="1"/>
  <c r="O22" i="16"/>
  <c r="O43" i="16" s="1"/>
  <c r="O59" i="16" s="1"/>
  <c r="N22" i="16"/>
  <c r="N43" i="16" s="1"/>
  <c r="N59" i="16" s="1"/>
  <c r="M22" i="16"/>
  <c r="M43" i="16" s="1"/>
  <c r="M59" i="16" s="1"/>
  <c r="L22" i="16"/>
  <c r="L31" i="16" s="1"/>
  <c r="K22" i="16"/>
  <c r="K43" i="16" s="1"/>
  <c r="K59" i="16" s="1"/>
  <c r="J22" i="16"/>
  <c r="J43" i="16" s="1"/>
  <c r="J59" i="16" s="1"/>
  <c r="I22" i="16"/>
  <c r="I43" i="16" s="1"/>
  <c r="I59" i="16" s="1"/>
  <c r="H22" i="16"/>
  <c r="H43" i="16" s="1"/>
  <c r="H59" i="16" s="1"/>
  <c r="G22" i="16"/>
  <c r="G31" i="16" s="1"/>
  <c r="F22" i="16"/>
  <c r="F31" i="16" s="1"/>
  <c r="E22" i="16"/>
  <c r="E43" i="16" s="1"/>
  <c r="E59" i="16" s="1"/>
  <c r="U19" i="16"/>
  <c r="U45" i="16" s="1"/>
  <c r="U61" i="16" s="1"/>
  <c r="I19" i="16"/>
  <c r="I45" i="16" s="1"/>
  <c r="I61" i="16" s="1"/>
  <c r="V18" i="16"/>
  <c r="U18" i="16"/>
  <c r="T18" i="16"/>
  <c r="S18" i="16"/>
  <c r="R18" i="16"/>
  <c r="Q18" i="16"/>
  <c r="P18" i="16"/>
  <c r="P19" i="16" s="1"/>
  <c r="P45" i="16" s="1"/>
  <c r="O18" i="16"/>
  <c r="N18" i="16"/>
  <c r="M18" i="16"/>
  <c r="L18" i="16"/>
  <c r="K18" i="16"/>
  <c r="J18" i="16"/>
  <c r="I18" i="16"/>
  <c r="H18" i="16"/>
  <c r="G18" i="16"/>
  <c r="F18" i="16"/>
  <c r="E18" i="16"/>
  <c r="V17" i="16"/>
  <c r="U17" i="16"/>
  <c r="U60" i="16" s="1"/>
  <c r="T17" i="16"/>
  <c r="T60" i="16" s="1"/>
  <c r="S17" i="16"/>
  <c r="R17" i="16"/>
  <c r="Q17" i="16"/>
  <c r="Q60" i="16" s="1"/>
  <c r="P17" i="16"/>
  <c r="O17" i="16"/>
  <c r="O44" i="16" s="1"/>
  <c r="N17" i="16"/>
  <c r="N60" i="16" s="1"/>
  <c r="M17" i="16"/>
  <c r="L17" i="16"/>
  <c r="K17" i="16"/>
  <c r="K44" i="16" s="1"/>
  <c r="J17" i="16"/>
  <c r="I17" i="16"/>
  <c r="I44" i="16" s="1"/>
  <c r="H17" i="16"/>
  <c r="H60" i="16" s="1"/>
  <c r="G17" i="16"/>
  <c r="F17" i="16"/>
  <c r="F44" i="16" s="1"/>
  <c r="E17" i="16"/>
  <c r="E60" i="16" s="1"/>
  <c r="W16" i="16"/>
  <c r="W15" i="16"/>
  <c r="W14" i="16"/>
  <c r="W13" i="16"/>
  <c r="W12" i="16"/>
  <c r="W11" i="16"/>
  <c r="W10" i="16"/>
  <c r="S48" i="16" l="1"/>
  <c r="W18" i="16"/>
  <c r="N19" i="16"/>
  <c r="N45" i="16" s="1"/>
  <c r="N46" i="16" s="1"/>
  <c r="F49" i="16"/>
  <c r="R49" i="16"/>
  <c r="G43" i="16"/>
  <c r="G59" i="16" s="1"/>
  <c r="S43" i="16"/>
  <c r="S59" i="16" s="1"/>
  <c r="L47" i="16"/>
  <c r="L64" i="16" s="1"/>
  <c r="G48" i="16"/>
  <c r="T48" i="16"/>
  <c r="S49" i="16"/>
  <c r="I60" i="16"/>
  <c r="V19" i="16"/>
  <c r="V45" i="16" s="1"/>
  <c r="O19" i="16"/>
  <c r="O45" i="16" s="1"/>
  <c r="O61" i="16" s="1"/>
  <c r="W28" i="16"/>
  <c r="I41" i="16"/>
  <c r="M48" i="16"/>
  <c r="G49" i="16"/>
  <c r="L43" i="16"/>
  <c r="L59" i="16" s="1"/>
  <c r="N47" i="16"/>
  <c r="N64" i="16" s="1"/>
  <c r="H48" i="16"/>
  <c r="O60" i="16"/>
  <c r="M49" i="16"/>
  <c r="H19" i="16"/>
  <c r="H45" i="16" s="1"/>
  <c r="H46" i="16" s="1"/>
  <c r="T19" i="16"/>
  <c r="T45" i="16" s="1"/>
  <c r="J31" i="16"/>
  <c r="P43" i="16"/>
  <c r="P59" i="16" s="1"/>
  <c r="I46" i="16"/>
  <c r="I62" i="16" s="1"/>
  <c r="I63" i="16" s="1"/>
  <c r="R47" i="16"/>
  <c r="R64" i="16" s="1"/>
  <c r="L49" i="16"/>
  <c r="P61" i="16"/>
  <c r="P46" i="16"/>
  <c r="V61" i="16"/>
  <c r="V46" i="16"/>
  <c r="M65" i="16"/>
  <c r="P48" i="16"/>
  <c r="P47" i="16"/>
  <c r="P64" i="16" s="1"/>
  <c r="M19" i="16"/>
  <c r="M45" i="16" s="1"/>
  <c r="M60" i="16"/>
  <c r="M44" i="16"/>
  <c r="E19" i="16"/>
  <c r="K49" i="16"/>
  <c r="K47" i="16"/>
  <c r="K64" i="16" s="1"/>
  <c r="V31" i="16"/>
  <c r="T65" i="16"/>
  <c r="O31" i="16"/>
  <c r="W39" i="16"/>
  <c r="W41" i="16" s="1"/>
  <c r="F41" i="16"/>
  <c r="K48" i="16"/>
  <c r="P49" i="16"/>
  <c r="K60" i="16"/>
  <c r="Q19" i="16"/>
  <c r="Q45" i="16" s="1"/>
  <c r="H31" i="16"/>
  <c r="E44" i="16"/>
  <c r="Q44" i="16"/>
  <c r="O46" i="16"/>
  <c r="H47" i="16"/>
  <c r="H64" i="16" s="1"/>
  <c r="T47" i="16"/>
  <c r="T64" i="16" s="1"/>
  <c r="N61" i="16"/>
  <c r="W17" i="16"/>
  <c r="W60" i="16" s="1"/>
  <c r="K19" i="16"/>
  <c r="K45" i="16" s="1"/>
  <c r="I49" i="16"/>
  <c r="I48" i="16"/>
  <c r="O49" i="16"/>
  <c r="O48" i="16"/>
  <c r="U49" i="16"/>
  <c r="U48" i="16"/>
  <c r="T31" i="16"/>
  <c r="U41" i="16"/>
  <c r="E65" i="16"/>
  <c r="L19" i="16"/>
  <c r="L45" i="16" s="1"/>
  <c r="L60" i="16"/>
  <c r="R60" i="16"/>
  <c r="R19" i="16"/>
  <c r="R45" i="16" s="1"/>
  <c r="V48" i="16"/>
  <c r="V47" i="16"/>
  <c r="V64" i="16" s="1"/>
  <c r="U31" i="16"/>
  <c r="U46" i="16"/>
  <c r="G19" i="16"/>
  <c r="G45" i="16" s="1"/>
  <c r="G60" i="16"/>
  <c r="G44" i="16"/>
  <c r="S19" i="16"/>
  <c r="S45" i="16" s="1"/>
  <c r="S60" i="16"/>
  <c r="S44" i="16"/>
  <c r="E49" i="16"/>
  <c r="E47" i="16"/>
  <c r="Q49" i="16"/>
  <c r="Q47" i="16"/>
  <c r="Q64" i="16" s="1"/>
  <c r="N31" i="16"/>
  <c r="L44" i="16"/>
  <c r="H65" i="16"/>
  <c r="F65" i="16"/>
  <c r="J60" i="16"/>
  <c r="J44" i="16"/>
  <c r="P60" i="16"/>
  <c r="P44" i="16"/>
  <c r="V60" i="16"/>
  <c r="V44" i="16"/>
  <c r="J19" i="16"/>
  <c r="J45" i="16" s="1"/>
  <c r="I31" i="16"/>
  <c r="R44" i="16"/>
  <c r="I47" i="16"/>
  <c r="I64" i="16" s="1"/>
  <c r="U47" i="16"/>
  <c r="U64" i="16" s="1"/>
  <c r="N48" i="16"/>
  <c r="N50" i="16" s="1"/>
  <c r="L65" i="16"/>
  <c r="N62" i="16"/>
  <c r="N63" i="16" s="1"/>
  <c r="Q65" i="16"/>
  <c r="F60" i="16"/>
  <c r="F19" i="16"/>
  <c r="F45" i="16" s="1"/>
  <c r="J48" i="16"/>
  <c r="J47" i="16"/>
  <c r="J64" i="16" s="1"/>
  <c r="G65" i="16"/>
  <c r="S65" i="16"/>
  <c r="E31" i="16"/>
  <c r="K31" i="16"/>
  <c r="Q31" i="16"/>
  <c r="W31" i="16"/>
  <c r="H44" i="16"/>
  <c r="N44" i="16"/>
  <c r="T44" i="16"/>
  <c r="H51" i="16" l="1"/>
  <c r="H56" i="16"/>
  <c r="W48" i="16"/>
  <c r="W65" i="16" s="1"/>
  <c r="H61" i="16"/>
  <c r="T46" i="16"/>
  <c r="T61" i="16"/>
  <c r="J65" i="16"/>
  <c r="L46" i="16"/>
  <c r="L61" i="16"/>
  <c r="W44" i="16"/>
  <c r="N65" i="16"/>
  <c r="N56" i="16"/>
  <c r="N51" i="16"/>
  <c r="U55" i="16"/>
  <c r="U62" i="16"/>
  <c r="U63" i="16" s="1"/>
  <c r="U50" i="16"/>
  <c r="U51" i="16"/>
  <c r="U65" i="16"/>
  <c r="U56" i="16"/>
  <c r="K61" i="16"/>
  <c r="K46" i="16"/>
  <c r="F46" i="16"/>
  <c r="F61" i="16"/>
  <c r="S61" i="16"/>
  <c r="S46" i="16"/>
  <c r="O51" i="16"/>
  <c r="O65" i="16"/>
  <c r="O56" i="16"/>
  <c r="K65" i="16"/>
  <c r="M61" i="16"/>
  <c r="M46" i="16"/>
  <c r="V65" i="16"/>
  <c r="V56" i="16"/>
  <c r="V51" i="16"/>
  <c r="Q61" i="16"/>
  <c r="Q46" i="16"/>
  <c r="H62" i="16"/>
  <c r="H63" i="16" s="1"/>
  <c r="H50" i="16"/>
  <c r="H55" i="16"/>
  <c r="W47" i="16"/>
  <c r="E64" i="16"/>
  <c r="R46" i="16"/>
  <c r="R61" i="16"/>
  <c r="I51" i="16"/>
  <c r="I65" i="16"/>
  <c r="I56" i="16"/>
  <c r="P56" i="16"/>
  <c r="P51" i="16"/>
  <c r="P65" i="16"/>
  <c r="I50" i="16"/>
  <c r="P50" i="16"/>
  <c r="P62" i="16"/>
  <c r="P63" i="16" s="1"/>
  <c r="P55" i="16"/>
  <c r="I55" i="16"/>
  <c r="J61" i="16"/>
  <c r="J46" i="16"/>
  <c r="W49" i="16"/>
  <c r="G61" i="16"/>
  <c r="G46" i="16"/>
  <c r="O55" i="16"/>
  <c r="O50" i="16"/>
  <c r="O62" i="16"/>
  <c r="O63" i="16" s="1"/>
  <c r="W19" i="16"/>
  <c r="E45" i="16"/>
  <c r="N55" i="16"/>
  <c r="V50" i="16"/>
  <c r="V62" i="16"/>
  <c r="V63" i="16" s="1"/>
  <c r="V55" i="16"/>
  <c r="T50" i="16" l="1"/>
  <c r="T62" i="16"/>
  <c r="T63" i="16" s="1"/>
  <c r="T55" i="16"/>
  <c r="T56" i="16"/>
  <c r="T51" i="16"/>
  <c r="M55" i="16"/>
  <c r="M50" i="16"/>
  <c r="M62" i="16"/>
  <c r="M63" i="16" s="1"/>
  <c r="M51" i="16"/>
  <c r="M56" i="16"/>
  <c r="K55" i="16"/>
  <c r="K62" i="16"/>
  <c r="K63" i="16" s="1"/>
  <c r="K50" i="16"/>
  <c r="R62" i="16"/>
  <c r="R63" i="16" s="1"/>
  <c r="R55" i="16"/>
  <c r="R50" i="16"/>
  <c r="R56" i="16"/>
  <c r="R51" i="16"/>
  <c r="Q55" i="16"/>
  <c r="Q62" i="16"/>
  <c r="Q63" i="16" s="1"/>
  <c r="Q50" i="16"/>
  <c r="Q51" i="16"/>
  <c r="Q56" i="16"/>
  <c r="L62" i="16"/>
  <c r="L63" i="16" s="1"/>
  <c r="L50" i="16"/>
  <c r="L55" i="16"/>
  <c r="L56" i="16"/>
  <c r="L51" i="16"/>
  <c r="J50" i="16"/>
  <c r="J62" i="16"/>
  <c r="J63" i="16" s="1"/>
  <c r="J55" i="16"/>
  <c r="F62" i="16"/>
  <c r="F63" i="16" s="1"/>
  <c r="F55" i="16"/>
  <c r="F50" i="16"/>
  <c r="F56" i="16"/>
  <c r="F51" i="16"/>
  <c r="G55" i="16"/>
  <c r="G50" i="16"/>
  <c r="G62" i="16"/>
  <c r="G63" i="16" s="1"/>
  <c r="G51" i="16"/>
  <c r="G56" i="16"/>
  <c r="K56" i="16"/>
  <c r="S55" i="16"/>
  <c r="S50" i="16"/>
  <c r="S62" i="16"/>
  <c r="S63" i="16" s="1"/>
  <c r="S51" i="16"/>
  <c r="S56" i="16"/>
  <c r="E46" i="16"/>
  <c r="E61" i="16"/>
  <c r="W45" i="16"/>
  <c r="W63" i="16"/>
  <c r="W64" i="16"/>
  <c r="K51" i="16"/>
  <c r="J51" i="16"/>
  <c r="J56" i="16"/>
  <c r="AB14" i="9"/>
  <c r="N14" i="9" s="1"/>
  <c r="I14" i="9" s="1"/>
  <c r="J14" i="9" s="1"/>
  <c r="W46" i="16" l="1"/>
  <c r="W62" i="16" s="1"/>
  <c r="W61" i="16"/>
  <c r="E55" i="16"/>
  <c r="W55" i="16" s="1"/>
  <c r="E62" i="16"/>
  <c r="E63" i="16" s="1"/>
  <c r="E50" i="16"/>
  <c r="W50" i="16" s="1"/>
  <c r="E56" i="16"/>
  <c r="W56" i="16" s="1"/>
  <c r="E51" i="16"/>
  <c r="W51" i="16" s="1"/>
  <c r="N13" i="8"/>
  <c r="N13" i="7" l="1"/>
  <c r="N13" i="5" l="1"/>
  <c r="AB14" i="6" l="1"/>
  <c r="N14" i="6" s="1"/>
  <c r="I14" i="6" l="1"/>
  <c r="J14" i="6" s="1"/>
  <c r="R12" i="11" l="1"/>
  <c r="Q12" i="15" l="1"/>
  <c r="Q10" i="15" l="1"/>
  <c r="Q10" i="11"/>
</calcChain>
</file>

<file path=xl/sharedStrings.xml><?xml version="1.0" encoding="utf-8"?>
<sst xmlns="http://schemas.openxmlformats.org/spreadsheetml/2006/main" count="754" uniqueCount="251">
  <si>
    <t>Distribution of Timesheet Accounting and Projections</t>
  </si>
  <si>
    <t>Help Contents</t>
  </si>
  <si>
    <t>This spreadsheet consists of 3 modules.  They are:</t>
  </si>
  <si>
    <t>CHA-1</t>
  </si>
  <si>
    <t>In the first part of this sheet, total available man-hours is computed.  In the second part</t>
  </si>
  <si>
    <t>committed man-hours is picked-up from the master data base and the graph is plotted with</t>
  </si>
  <si>
    <t>these parameters.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</si>
  <si>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</si>
  <si>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</si>
  <si>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</si>
  <si>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</si>
  <si>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</si>
  <si>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</si>
  <si>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</si>
  <si>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This report presents the actual booking of the employees in the previous month.  It details</t>
  </si>
  <si>
    <t>the work poisiton, particol, project no, employee no, name and the man-hours booked by the</t>
  </si>
  <si>
    <t>respective employee.  And at the end it lists the total man-hours booked for the department</t>
  </si>
  <si>
    <t>during the month.</t>
  </si>
  <si>
    <t>TM02</t>
  </si>
  <si>
    <t>This report presents the consolidated information for the department against various projects.</t>
  </si>
  <si>
    <t>Against each project, it displays the original budgeted hours and revised budgets. 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</si>
  <si>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</si>
  <si>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</si>
  <si>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</si>
  <si>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</si>
  <si>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</si>
  <si>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</si>
  <si>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project list is arrived as per the following criterion:</t>
  </si>
  <si>
    <t>1.  Should there be a budget to complete the project</t>
  </si>
  <si>
    <t>2.  There is a booking made in the current financial year to a project.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</si>
  <si>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</si>
  <si>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</si>
  <si>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</si>
  <si>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</si>
  <si>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</si>
  <si>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Total</t>
  </si>
  <si>
    <t>Committed hours for projects</t>
  </si>
  <si>
    <t>Prj No</t>
  </si>
  <si>
    <t>Project Name</t>
  </si>
  <si>
    <t>Manhours required</t>
  </si>
  <si>
    <t>Report Title       :</t>
  </si>
  <si>
    <t>STA6</t>
  </si>
  <si>
    <t>Processing Date :</t>
  </si>
  <si>
    <t xml:space="preserve">Period                 :  </t>
  </si>
  <si>
    <t>Work Position</t>
  </si>
  <si>
    <t>Proj.No</t>
  </si>
  <si>
    <t xml:space="preserve">Employee </t>
  </si>
  <si>
    <t>Employee Name</t>
  </si>
  <si>
    <t>Gen</t>
  </si>
  <si>
    <t>Particol</t>
  </si>
  <si>
    <t>No.</t>
  </si>
  <si>
    <t>TM 02</t>
  </si>
  <si>
    <t/>
  </si>
  <si>
    <t>Budget</t>
  </si>
  <si>
    <t>Accounted</t>
  </si>
  <si>
    <t>Estimates to complete next 12 months</t>
  </si>
  <si>
    <t>Job Order</t>
  </si>
  <si>
    <t>Job</t>
  </si>
  <si>
    <t>Current</t>
  </si>
  <si>
    <t>Balance</t>
  </si>
  <si>
    <t>Total next</t>
  </si>
  <si>
    <t>After next</t>
  </si>
  <si>
    <t>Desc.</t>
  </si>
  <si>
    <t>Original</t>
  </si>
  <si>
    <t>Revised</t>
  </si>
  <si>
    <t>Estimate</t>
  </si>
  <si>
    <t>Delta</t>
  </si>
  <si>
    <t>Month</t>
  </si>
  <si>
    <t>Year</t>
  </si>
  <si>
    <t>to compl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</si>
  <si>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</si>
  <si>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</si>
  <si>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</si>
  <si>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</si>
  <si>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</si>
  <si>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</si>
  <si>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</si>
  <si>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</si>
  <si>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OT</t>
  </si>
  <si>
    <t>Hours</t>
  </si>
  <si>
    <t>Normal</t>
  </si>
  <si>
    <t>S.</t>
  </si>
  <si>
    <t xml:space="preserve">Deviation </t>
  </si>
  <si>
    <t>of prev mnth</t>
  </si>
  <si>
    <t>Total Manhours</t>
  </si>
  <si>
    <t>Cost Centre Code</t>
  </si>
  <si>
    <t>Cost Centre Name</t>
  </si>
  <si>
    <t>Cost Centre Head</t>
  </si>
  <si>
    <t>Summary for the Cost Centre</t>
  </si>
  <si>
    <t xml:space="preserve">      Manhours Cost Centre Wise</t>
  </si>
  <si>
    <t>Cost Centre code   :</t>
  </si>
  <si>
    <t>Cost Centre Name           :</t>
  </si>
  <si>
    <t>Cost Centre Head            :</t>
  </si>
  <si>
    <t xml:space="preserve">       Manhours Cost Centre Wise Summary</t>
  </si>
  <si>
    <t>Parent Cost Centre Code</t>
  </si>
  <si>
    <t>STA6_1</t>
  </si>
  <si>
    <t>STA6_2</t>
  </si>
  <si>
    <t>TM 02_TCM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</si>
  <si>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</si>
  <si>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</si>
  <si>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</si>
  <si>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</si>
  <si>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</si>
  <si>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</si>
  <si>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</si>
  <si>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</si>
  <si>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</si>
  <si>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</si>
  <si>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</si>
  <si>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t>current estimate is arrived as the cumulative booking against the project so far and the</t>
  </si>
  <si>
    <t>is arrived from the projections provided by the costcenter.  This is the sum of manhours</t>
  </si>
  <si>
    <t>projected man-hours requested by the user cost centre.  Delta is the difference between the</t>
  </si>
  <si>
    <t>STA-6.      Employee wise details of previous month man-hour booking</t>
  </si>
  <si>
    <t>STA-6_1.  Employee wise details of previous month man-hour booking on TCM Jobs</t>
  </si>
  <si>
    <t>STA-6_2.  Employee wise details of previous month man-hour booking on NONTCM Jobs</t>
  </si>
  <si>
    <t>TM-02.      Project wise summary of manhours spent and committed man-hours</t>
  </si>
  <si>
    <t>CHA-1.     Projection of Available manhours and committed man-hours against projects</t>
  </si>
  <si>
    <t>TM-02_1.  Project wise summary of TCM JOBS - manhours spent and committed man-hours</t>
  </si>
  <si>
    <t>Similar to STA6 - except that it will show only the hours booked against NONTCM Jobs.</t>
  </si>
  <si>
    <t>Similar to STA6 - except that it will show only the hours booked against TCM Jobs.</t>
  </si>
  <si>
    <t>TMO2 _1</t>
  </si>
  <si>
    <t>Similar to TM02 - except that it will show only TCM Jobs.</t>
  </si>
  <si>
    <t>ACT01</t>
  </si>
  <si>
    <t>Activity</t>
  </si>
  <si>
    <t>Desc</t>
  </si>
  <si>
    <t>Hours of the 12 month</t>
  </si>
  <si>
    <t xml:space="preserve">Activity Wise Report         </t>
  </si>
  <si>
    <t>Act01</t>
  </si>
  <si>
    <t xml:space="preserve">This is an Activitywise report generated for the costcode. The Spent Manhours are </t>
  </si>
  <si>
    <t>broken up into the various activities of the costcode as filled in their timesheets.</t>
  </si>
  <si>
    <t xml:space="preserve">It give the details against the various months starting from the beginning  of </t>
  </si>
  <si>
    <t>the financial year upto the current month.</t>
  </si>
  <si>
    <t>Only the details of TCM Reimbersible Jobs are given.</t>
  </si>
  <si>
    <t>TMO2 _1_ED</t>
  </si>
  <si>
    <t>TMO2 _1_TICB</t>
  </si>
  <si>
    <t>TCM No.</t>
  </si>
  <si>
    <t>Cha1Expt</t>
  </si>
  <si>
    <t xml:space="preserve">Processing Month     :  </t>
  </si>
  <si>
    <t xml:space="preserve">                                                Manhours  Estimation</t>
  </si>
  <si>
    <t>Actual No. of  employees &amp; Consultants (N)</t>
  </si>
  <si>
    <t>No of employees as per payroll</t>
  </si>
  <si>
    <r>
      <t>Estimated hours/mth</t>
    </r>
    <r>
      <rPr>
        <b/>
        <sz val="10"/>
        <rFont val="Times New Roman"/>
        <family val="1"/>
      </rPr>
      <t xml:space="preserve">  (EHM) **</t>
    </r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</si>
  <si>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</si>
  <si>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</si>
  <si>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</si>
  <si>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</si>
  <si>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t>Available hours (A)  =  N * EHM</t>
  </si>
  <si>
    <t>Available hours after Movement (C)   = A + B</t>
  </si>
  <si>
    <t>Overtime %  (F)</t>
  </si>
  <si>
    <t>Committed hours for projects (D)</t>
  </si>
  <si>
    <t>Committed hours for Expected projects</t>
  </si>
  <si>
    <t>Committed hours for Expected projects (E)</t>
  </si>
  <si>
    <t>Committed hours for Expected projects - Active - (J)</t>
  </si>
  <si>
    <t>Committed hours for Expected projects - Future</t>
  </si>
  <si>
    <r>
      <t xml:space="preserve">Available hours </t>
    </r>
    <r>
      <rPr>
        <b/>
        <sz val="10"/>
        <rFont val="Times New Roman"/>
        <family val="1"/>
      </rPr>
      <t>(A)</t>
    </r>
  </si>
  <si>
    <r>
      <t xml:space="preserve">Available hours after MOW </t>
    </r>
    <r>
      <rPr>
        <b/>
        <sz val="10"/>
        <rFont val="Times New Roman"/>
        <family val="1"/>
      </rPr>
      <t xml:space="preserve"> (C)</t>
    </r>
  </si>
  <si>
    <r>
      <t>Available hours after MOW</t>
    </r>
    <r>
      <rPr>
        <b/>
        <sz val="10"/>
        <rFont val="Times New Roman"/>
        <family val="1"/>
      </rPr>
      <t xml:space="preserve"> with Overtime(G) =C+(F*C)</t>
    </r>
  </si>
  <si>
    <r>
      <t>Committed hours</t>
    </r>
    <r>
      <rPr>
        <b/>
        <sz val="10"/>
        <rFont val="Times New Roman"/>
        <family val="1"/>
      </rPr>
      <t xml:space="preserve"> (D)</t>
    </r>
  </si>
  <si>
    <r>
      <t xml:space="preserve">Committed hours with Expected Projects </t>
    </r>
    <r>
      <rPr>
        <b/>
        <sz val="10"/>
        <rFont val="Times New Roman"/>
        <family val="1"/>
      </rPr>
      <t>(H) = D+E</t>
    </r>
    <r>
      <rPr>
        <sz val="10"/>
        <rFont val="Times New Roman"/>
        <family val="1"/>
      </rPr>
      <t xml:space="preserve"> </t>
    </r>
  </si>
  <si>
    <r>
      <t xml:space="preserve">Committed hours with Expected proj, </t>
    </r>
    <r>
      <rPr>
        <b/>
        <sz val="10"/>
        <rFont val="Times New Roman"/>
        <family val="1"/>
      </rPr>
      <t>Active (K) = D+J</t>
    </r>
  </si>
  <si>
    <r>
      <t>Balance available</t>
    </r>
    <r>
      <rPr>
        <b/>
        <sz val="10"/>
        <rFont val="Times New Roman"/>
        <family val="1"/>
      </rPr>
      <t xml:space="preserve"> (I)</t>
    </r>
    <r>
      <rPr>
        <sz val="10"/>
        <rFont val="Times New Roman"/>
        <family val="1"/>
      </rPr>
      <t xml:space="preserve"> = </t>
    </r>
    <r>
      <rPr>
        <b/>
        <sz val="10"/>
        <rFont val="Times New Roman"/>
        <family val="1"/>
      </rPr>
      <t>(G) - (H)</t>
    </r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</si>
  <si>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</si>
  <si>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r>
      <t>Available hours after MOW</t>
    </r>
    <r>
      <rPr>
        <b/>
        <sz val="10"/>
        <rFont val="Times New Roman"/>
        <family val="1"/>
      </rPr>
      <t xml:space="preserve"> with Overtime(G) = C+(F*C)</t>
    </r>
  </si>
  <si>
    <t>Period    :</t>
  </si>
  <si>
    <t xml:space="preserve">Processing Month  :  </t>
  </si>
  <si>
    <t>Manhours Cost Centre Wise (Non TCM Jobs)</t>
  </si>
  <si>
    <t>Manhours Cost Centre Wise (TCM Jobs)</t>
  </si>
  <si>
    <t>Processing Period    :</t>
  </si>
  <si>
    <t>Processing Month  :</t>
  </si>
  <si>
    <t>Processing Month :</t>
  </si>
  <si>
    <t>ACT02</t>
  </si>
  <si>
    <t xml:space="preserve">              Tecnimont Pvt. Ltd.</t>
  </si>
  <si>
    <t xml:space="preserve">                                              Tecnimont Pvt. Ltd.</t>
  </si>
  <si>
    <t xml:space="preserve">                                           Tecnimont Pvt. Ltd.</t>
  </si>
  <si>
    <t>TECNIMONT   PVT. LTD.</t>
  </si>
  <si>
    <t>Activitywise report of TCM Reimbursible Jobs Only</t>
  </si>
  <si>
    <t>Similar to TM02 - except that it will show only TCM Jobs of TCMPL Company only.</t>
  </si>
  <si>
    <t>Similar to TM02 - except that it will show only TCM Jobs OF Engineering Phase.</t>
  </si>
  <si>
    <t>## Includes Movement to TCM,Sofr,TPI and Within TCMPL Office Dept.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</si>
  <si>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</si>
  <si>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</si>
  <si>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</si>
  <si>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r>
      <t>Available hours after MOW</t>
    </r>
    <r>
      <rPr>
        <b/>
        <sz val="10"/>
        <rFont val="Times New Roman"/>
        <family val="1"/>
      </rPr>
      <t xml:space="preserve"> with OT + Subcont (N)=G+L</t>
    </r>
  </si>
  <si>
    <t>{{item.projno}}</t>
  </si>
  <si>
    <t>{{item.tcmno}}</t>
  </si>
  <si>
    <t>{{item.name}}</t>
  </si>
  <si>
    <t>{{item.activity}}</t>
  </si>
  <si>
    <t>Job Order No.</t>
  </si>
  <si>
    <t>Job Desc</t>
  </si>
  <si>
    <t>&lt;&lt;sum&gt;&gt;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</si>
  <si>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</si>
  <si>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</si>
  <si>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</si>
  <si>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</si>
  <si>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</si>
  <si>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</si>
  <si>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</si>
  <si>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</si>
  <si>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</si>
  <si>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</si>
  <si>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</si>
  <si>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</si>
  <si>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Report Title :</t>
  </si>
  <si>
    <t>{{item.wpcode}}</t>
  </si>
  <si>
    <t>{{item.empno}}</t>
  </si>
  <si>
    <t>{{item.hours}}</t>
  </si>
  <si>
    <t>{{item.othours}}</t>
  </si>
  <si>
    <t>{{item.totalhours}}</t>
  </si>
  <si>
    <t>{{oddTimesheet}}</t>
  </si>
  <si>
    <t>{{item.costcode}}</t>
  </si>
  <si>
    <t>{{item.revised}}</t>
  </si>
  <si>
    <t>{{item.original}}</t>
  </si>
  <si>
    <t>{{item.month}}</t>
  </si>
  <si>
    <t>{{item.year}}</t>
  </si>
  <si>
    <t>{{item.total}}</t>
  </si>
  <si>
    <t>{{item.afterHours}}</t>
  </si>
  <si>
    <t>{{item.emptype}}</t>
  </si>
  <si>
    <t>{{item.tothrs}}</t>
  </si>
  <si>
    <t>{{item.tma_grp}}</t>
  </si>
  <si>
    <t>{{item.row_colour}}</t>
  </si>
  <si>
    <t>{{item.devtn}}</t>
  </si>
  <si>
    <t>{{item.newcostcode_desc}}</t>
  </si>
  <si>
    <t>{{item.calctotalhours}}</t>
  </si>
  <si>
    <t>{{item.calcname}}</t>
  </si>
  <si>
    <t>{{item.calcempno}}</t>
  </si>
  <si>
    <t>&lt;&lt;group&gt;&gt;&lt;&lt;delete&gt;&gt;</t>
  </si>
  <si>
    <t>{{item.calcprojno}}</t>
  </si>
  <si>
    <t>{{item.calctcmno}}</t>
  </si>
  <si>
    <t>&lt;&lt;group TotalLabel="Total" GrandLabel="Grand Total" Placetocolumn=3&gt;&gt;&lt;&lt;delete&gt;&gt;</t>
  </si>
  <si>
    <t>{{item.srno}}</t>
  </si>
  <si>
    <t>{{notSubmitted}}</t>
  </si>
  <si>
    <t xml:space="preserve">{{ManhoursSpentBy}} </t>
  </si>
  <si>
    <t xml:space="preserve">&lt;&lt;group Placetocolumn=2&gt;&gt; &lt;&lt;delete&gt;&gt; </t>
  </si>
  <si>
    <t xml:space="preserve">{{ManhoursSpentBy_1}} </t>
  </si>
  <si>
    <t>{{item.m}}</t>
  </si>
  <si>
    <t>{{item.n}}</t>
  </si>
  <si>
    <t>{{item.o}}</t>
  </si>
  <si>
    <t>{{item.p}}</t>
  </si>
  <si>
    <t>{{item.q}}</t>
  </si>
  <si>
    <t>{{item.r}}</t>
  </si>
  <si>
    <t>Reason</t>
  </si>
  <si>
    <t>Code</t>
  </si>
  <si>
    <t>{{item.reasoncode}}</t>
  </si>
  <si>
    <t>{{item.newcostcode}}</t>
  </si>
  <si>
    <t>{{item.active}}</t>
  </si>
  <si>
    <t xml:space="preserve">                                                                              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</si>
  <si>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</si>
  <si>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</si>
  <si>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</si>
  <si>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t>TMA</t>
  </si>
  <si>
    <t>&lt;&lt;group TotalLabel="Total"&gt;&gt;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</si>
</sst>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000000"/>
    <numFmt numFmtId="167" formatCode="#####"/>
  </numFmts>
  <fonts count="3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b/>
      <sz val="18"/>
      <name val="Times New Roman"/>
      <family val="1"/>
    </font>
    <font>
      <sz val="11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indexed="9"/>
      <name val="Times New Roman"/>
      <family val="1"/>
    </font>
    <font>
      <b/>
      <sz val="14"/>
      <name val="Times New Roman"/>
      <family val="1"/>
    </font>
    <font>
      <b/>
      <sz val="22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name val="Times New Roman"/>
      <family val="1"/>
    </font>
    <font>
      <sz val="12"/>
      <color rgb="FF373737"/>
      <name val="Calibri"/>
      <family val="2"/>
    </font>
    <font>
      <b/>
      <sz val="8"/>
      <name val="Times New Roman"/>
      <family val="1"/>
    </font>
    <font>
      <sz val="10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9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3" fillId="0" borderId="0"/>
  </cellStyleXfs>
  <cellXfs count="41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4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6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Alignment="1">
      <alignment horizontal="left"/>
    </xf>
    <xf numFmtId="0" fontId="11" fillId="0" borderId="0" xfId="0" applyFont="1"/>
    <xf numFmtId="0" fontId="10" fillId="0" borderId="2" xfId="0" applyFont="1" applyBorder="1"/>
    <xf numFmtId="0" fontId="0" fillId="0" borderId="2" xfId="0" applyBorder="1"/>
    <xf numFmtId="0" fontId="6" fillId="0" borderId="9" xfId="0" applyFont="1" applyBorder="1" applyAlignment="1">
      <alignment horizontal="left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/>
    <xf numFmtId="0" fontId="8" fillId="0" borderId="1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165" fontId="8" fillId="0" borderId="23" xfId="0" applyNumberFormat="1" applyFont="1" applyBorder="1"/>
    <xf numFmtId="165" fontId="3" fillId="0" borderId="24" xfId="0" applyNumberFormat="1" applyFont="1" applyBorder="1" applyAlignment="1">
      <alignment horizontal="right"/>
    </xf>
    <xf numFmtId="165" fontId="3" fillId="0" borderId="25" xfId="0" applyNumberFormat="1" applyFont="1" applyBorder="1" applyAlignment="1">
      <alignment horizontal="right"/>
    </xf>
    <xf numFmtId="0" fontId="5" fillId="0" borderId="5" xfId="0" applyFont="1" applyBorder="1"/>
    <xf numFmtId="0" fontId="5" fillId="0" borderId="0" xfId="0" applyFont="1"/>
    <xf numFmtId="0" fontId="9" fillId="0" borderId="0" xfId="0" applyFont="1"/>
    <xf numFmtId="0" fontId="8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0" fillId="0" borderId="2" xfId="0" applyFont="1" applyBorder="1" applyAlignment="1">
      <alignment horizontal="center"/>
    </xf>
    <xf numFmtId="16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10" fillId="0" borderId="2" xfId="0" applyFont="1" applyBorder="1" applyAlignment="1">
      <alignment horizontal="left"/>
    </xf>
    <xf numFmtId="0" fontId="10" fillId="0" borderId="0" xfId="0" applyFont="1" applyAlignment="1">
      <alignment horizontal="left"/>
    </xf>
    <xf numFmtId="15" fontId="11" fillId="0" borderId="0" xfId="0" applyNumberFormat="1" applyFont="1" applyAlignment="1">
      <alignment horizontal="centerContinuous"/>
    </xf>
    <xf numFmtId="0" fontId="3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0" borderId="0" xfId="0" quotePrefix="1" applyFont="1" applyAlignment="1">
      <alignment horizontal="left"/>
    </xf>
    <xf numFmtId="0" fontId="0" fillId="0" borderId="1" xfId="0" applyBorder="1"/>
    <xf numFmtId="0" fontId="0" fillId="0" borderId="3" xfId="0" applyBorder="1"/>
    <xf numFmtId="0" fontId="12" fillId="0" borderId="5" xfId="0" applyFont="1" applyBorder="1" applyAlignment="1">
      <alignment horizontal="centerContinuous"/>
    </xf>
    <xf numFmtId="0" fontId="13" fillId="0" borderId="0" xfId="0" applyFont="1" applyAlignment="1">
      <alignment horizontal="centerContinuous"/>
    </xf>
    <xf numFmtId="0" fontId="13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5" fillId="0" borderId="5" xfId="0" applyFont="1" applyBorder="1" applyAlignment="1">
      <alignment horizontal="centerContinuous"/>
    </xf>
    <xf numFmtId="0" fontId="15" fillId="0" borderId="0" xfId="0" applyFont="1" applyAlignment="1">
      <alignment horizontal="centerContinuous"/>
    </xf>
    <xf numFmtId="0" fontId="15" fillId="0" borderId="4" xfId="0" applyFont="1" applyBorder="1" applyAlignment="1">
      <alignment horizontal="centerContinuous"/>
    </xf>
    <xf numFmtId="0" fontId="14" fillId="0" borderId="0" xfId="0" applyFont="1"/>
    <xf numFmtId="0" fontId="2" fillId="0" borderId="0" xfId="0" applyFont="1" applyAlignment="1">
      <alignment horizontal="left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7" fontId="3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31" xfId="0" applyFont="1" applyBorder="1"/>
    <xf numFmtId="0" fontId="8" fillId="0" borderId="13" xfId="0" applyFont="1" applyBorder="1"/>
    <xf numFmtId="0" fontId="8" fillId="0" borderId="32" xfId="0" applyFont="1" applyBorder="1" applyAlignment="1">
      <alignment horizontal="center"/>
    </xf>
    <xf numFmtId="0" fontId="8" fillId="0" borderId="2" xfId="0" applyFont="1" applyBorder="1"/>
    <xf numFmtId="0" fontId="8" fillId="0" borderId="33" xfId="0" applyFont="1" applyBorder="1" applyAlignment="1">
      <alignment horizontal="right"/>
    </xf>
    <xf numFmtId="0" fontId="8" fillId="0" borderId="3" xfId="0" applyFont="1" applyBorder="1"/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left"/>
    </xf>
    <xf numFmtId="0" fontId="8" fillId="0" borderId="32" xfId="0" applyFont="1" applyBorder="1" applyAlignment="1">
      <alignment horizontal="centerContinuous"/>
    </xf>
    <xf numFmtId="0" fontId="8" fillId="0" borderId="32" xfId="0" quotePrefix="1" applyFont="1" applyBorder="1" applyAlignment="1">
      <alignment horizontal="centerContinuous"/>
    </xf>
    <xf numFmtId="0" fontId="8" fillId="0" borderId="34" xfId="0" applyFont="1" applyBorder="1" applyAlignment="1">
      <alignment horizontal="centerContinuous"/>
    </xf>
    <xf numFmtId="0" fontId="8" fillId="0" borderId="12" xfId="0" quotePrefix="1" applyFont="1" applyBorder="1"/>
    <xf numFmtId="0" fontId="8" fillId="0" borderId="35" xfId="0" applyFont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24" xfId="0" applyFont="1" applyBorder="1" applyAlignment="1">
      <alignment horizontal="centerContinuous"/>
    </xf>
    <xf numFmtId="0" fontId="8" fillId="0" borderId="35" xfId="0" applyFont="1" applyBorder="1" applyAlignment="1">
      <alignment horizontal="centerContinuous"/>
    </xf>
    <xf numFmtId="0" fontId="8" fillId="0" borderId="36" xfId="0" applyFont="1" applyBorder="1" applyAlignment="1">
      <alignment horizontal="left"/>
    </xf>
    <xf numFmtId="0" fontId="8" fillId="0" borderId="4" xfId="0" applyFont="1" applyBorder="1" applyAlignment="1">
      <alignment horizontal="centerContinuous"/>
    </xf>
    <xf numFmtId="0" fontId="8" fillId="0" borderId="35" xfId="0" quotePrefix="1" applyFont="1" applyBorder="1" applyAlignment="1">
      <alignment horizontal="centerContinuous"/>
    </xf>
    <xf numFmtId="0" fontId="8" fillId="0" borderId="38" xfId="0" applyFont="1" applyBorder="1" applyAlignment="1">
      <alignment horizontal="left"/>
    </xf>
    <xf numFmtId="0" fontId="8" fillId="0" borderId="38" xfId="0" applyFont="1" applyBorder="1" applyAlignment="1">
      <alignment horizontal="centerContinuous"/>
    </xf>
    <xf numFmtId="0" fontId="8" fillId="0" borderId="38" xfId="0" applyFont="1" applyBorder="1" applyAlignment="1">
      <alignment horizontal="center"/>
    </xf>
    <xf numFmtId="16" fontId="8" fillId="0" borderId="38" xfId="0" applyNumberFormat="1" applyFont="1" applyBorder="1" applyAlignment="1">
      <alignment horizontal="center"/>
    </xf>
    <xf numFmtId="0" fontId="8" fillId="0" borderId="39" xfId="0" applyFont="1" applyBorder="1" applyAlignment="1">
      <alignment horizontal="centerContinuous"/>
    </xf>
    <xf numFmtId="0" fontId="8" fillId="0" borderId="5" xfId="0" applyFont="1" applyBorder="1"/>
    <xf numFmtId="0" fontId="8" fillId="0" borderId="5" xfId="0" applyFont="1" applyBorder="1" applyAlignment="1">
      <alignment horizontal="left"/>
    </xf>
    <xf numFmtId="0" fontId="8" fillId="0" borderId="13" xfId="0" applyFont="1" applyBorder="1" applyAlignment="1">
      <alignment horizontal="centerContinuous"/>
    </xf>
    <xf numFmtId="0" fontId="8" fillId="0" borderId="14" xfId="0" applyFont="1" applyBorder="1" applyAlignment="1">
      <alignment horizontal="centerContinuous"/>
    </xf>
    <xf numFmtId="0" fontId="8" fillId="0" borderId="15" xfId="0" applyFont="1" applyBorder="1" applyAlignment="1">
      <alignment horizontal="center"/>
    </xf>
    <xf numFmtId="0" fontId="8" fillId="0" borderId="38" xfId="0" applyFont="1" applyBorder="1"/>
    <xf numFmtId="0" fontId="8" fillId="0" borderId="29" xfId="0" applyFont="1" applyBorder="1"/>
    <xf numFmtId="0" fontId="8" fillId="0" borderId="40" xfId="0" applyFont="1" applyBorder="1"/>
    <xf numFmtId="0" fontId="8" fillId="0" borderId="41" xfId="0" applyFont="1" applyBorder="1" applyAlignment="1">
      <alignment horizontal="center"/>
    </xf>
    <xf numFmtId="165" fontId="8" fillId="0" borderId="23" xfId="0" applyNumberFormat="1" applyFont="1" applyBorder="1" applyAlignment="1">
      <alignment horizontal="right"/>
    </xf>
    <xf numFmtId="0" fontId="3" fillId="0" borderId="42" xfId="0" applyFont="1" applyBorder="1" applyAlignment="1">
      <alignment horizontal="left"/>
    </xf>
    <xf numFmtId="0" fontId="3" fillId="0" borderId="42" xfId="0" applyFont="1" applyBorder="1" applyAlignment="1">
      <alignment horizontal="center"/>
    </xf>
    <xf numFmtId="164" fontId="3" fillId="0" borderId="42" xfId="0" applyNumberFormat="1" applyFont="1" applyBorder="1" applyAlignment="1">
      <alignment horizontal="right"/>
    </xf>
    <xf numFmtId="164" fontId="3" fillId="0" borderId="42" xfId="0" applyNumberFormat="1" applyFont="1" applyBorder="1" applyAlignment="1">
      <alignment horizontal="center"/>
    </xf>
    <xf numFmtId="0" fontId="3" fillId="0" borderId="43" xfId="0" applyFont="1" applyBorder="1"/>
    <xf numFmtId="164" fontId="3" fillId="0" borderId="44" xfId="0" applyNumberFormat="1" applyFont="1" applyBorder="1"/>
    <xf numFmtId="0" fontId="3" fillId="0" borderId="45" xfId="0" applyFont="1" applyBorder="1"/>
    <xf numFmtId="165" fontId="10" fillId="0" borderId="0" xfId="0" applyNumberFormat="1" applyFont="1" applyAlignment="1">
      <alignment horizontal="left"/>
    </xf>
    <xf numFmtId="166" fontId="3" fillId="0" borderId="1" xfId="0" applyNumberFormat="1" applyFont="1" applyBorder="1"/>
    <xf numFmtId="166" fontId="3" fillId="0" borderId="5" xfId="0" applyNumberFormat="1" applyFont="1" applyBorder="1"/>
    <xf numFmtId="166" fontId="8" fillId="0" borderId="5" xfId="0" applyNumberFormat="1" applyFont="1" applyBorder="1"/>
    <xf numFmtId="166" fontId="9" fillId="0" borderId="5" xfId="0" applyNumberFormat="1" applyFont="1" applyBorder="1"/>
    <xf numFmtId="166" fontId="3" fillId="0" borderId="2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6" fontId="6" fillId="0" borderId="10" xfId="0" applyNumberFormat="1" applyFont="1" applyBorder="1" applyAlignment="1">
      <alignment horizontal="left"/>
    </xf>
    <xf numFmtId="166" fontId="8" fillId="0" borderId="32" xfId="0" applyNumberFormat="1" applyFont="1" applyBorder="1" applyAlignment="1">
      <alignment horizontal="center"/>
    </xf>
    <xf numFmtId="166" fontId="8" fillId="0" borderId="38" xfId="0" applyNumberFormat="1" applyFont="1" applyBorder="1" applyAlignment="1">
      <alignment horizontal="center"/>
    </xf>
    <xf numFmtId="166" fontId="3" fillId="0" borderId="2" xfId="0" applyNumberFormat="1" applyFont="1" applyBorder="1"/>
    <xf numFmtId="166" fontId="5" fillId="0" borderId="0" xfId="0" applyNumberFormat="1" applyFont="1"/>
    <xf numFmtId="166" fontId="3" fillId="0" borderId="0" xfId="0" applyNumberFormat="1" applyFont="1"/>
    <xf numFmtId="166" fontId="6" fillId="0" borderId="10" xfId="0" applyNumberFormat="1" applyFont="1" applyBorder="1" applyAlignment="1">
      <alignment horizontal="centerContinuous"/>
    </xf>
    <xf numFmtId="166" fontId="3" fillId="0" borderId="16" xfId="0" applyNumberFormat="1" applyFont="1" applyBorder="1"/>
    <xf numFmtId="166" fontId="8" fillId="0" borderId="7" xfId="0" applyNumberFormat="1" applyFont="1" applyBorder="1"/>
    <xf numFmtId="166" fontId="8" fillId="0" borderId="0" xfId="0" applyNumberFormat="1" applyFont="1"/>
    <xf numFmtId="166" fontId="8" fillId="0" borderId="2" xfId="0" applyNumberFormat="1" applyFont="1" applyBorder="1"/>
    <xf numFmtId="166" fontId="3" fillId="0" borderId="20" xfId="0" applyNumberFormat="1" applyFont="1" applyBorder="1"/>
    <xf numFmtId="166" fontId="3" fillId="0" borderId="10" xfId="0" applyNumberFormat="1" applyFont="1" applyBorder="1"/>
    <xf numFmtId="0" fontId="0" fillId="0" borderId="12" xfId="0" applyBorder="1"/>
    <xf numFmtId="0" fontId="5" fillId="0" borderId="0" xfId="0" applyFont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28" xfId="0" applyFont="1" applyBorder="1"/>
    <xf numFmtId="167" fontId="10" fillId="0" borderId="2" xfId="0" applyNumberFormat="1" applyFont="1" applyBorder="1" applyAlignment="1">
      <alignment horizontal="center"/>
    </xf>
    <xf numFmtId="167" fontId="11" fillId="0" borderId="0" xfId="0" applyNumberFormat="1" applyFont="1" applyAlignment="1">
      <alignment horizontal="centerContinuous"/>
    </xf>
    <xf numFmtId="167" fontId="11" fillId="0" borderId="0" xfId="0" applyNumberFormat="1" applyFont="1" applyAlignment="1">
      <alignment horizontal="center"/>
    </xf>
    <xf numFmtId="167" fontId="3" fillId="0" borderId="0" xfId="0" applyNumberFormat="1" applyFont="1"/>
    <xf numFmtId="167" fontId="8" fillId="0" borderId="13" xfId="0" applyNumberFormat="1" applyFont="1" applyBorder="1" applyAlignment="1">
      <alignment horizontal="center"/>
    </xf>
    <xf numFmtId="167" fontId="0" fillId="0" borderId="0" xfId="0" applyNumberFormat="1"/>
    <xf numFmtId="0" fontId="18" fillId="0" borderId="0" xfId="0" applyFont="1"/>
    <xf numFmtId="0" fontId="8" fillId="0" borderId="29" xfId="0" applyFont="1" applyBorder="1" applyAlignment="1">
      <alignment horizontal="center"/>
    </xf>
    <xf numFmtId="0" fontId="0" fillId="0" borderId="0" xfId="0" applyAlignment="1">
      <alignment horizontal="center"/>
    </xf>
    <xf numFmtId="166" fontId="5" fillId="0" borderId="5" xfId="0" applyNumberFormat="1" applyFont="1" applyBorder="1" applyAlignment="1">
      <alignment horizontal="left"/>
    </xf>
    <xf numFmtId="0" fontId="19" fillId="0" borderId="0" xfId="0" applyFont="1"/>
    <xf numFmtId="167" fontId="20" fillId="0" borderId="29" xfId="0" applyNumberFormat="1" applyFont="1" applyBorder="1"/>
    <xf numFmtId="49" fontId="3" fillId="0" borderId="1" xfId="0" applyNumberFormat="1" applyFont="1" applyBorder="1"/>
    <xf numFmtId="49" fontId="5" fillId="0" borderId="5" xfId="0" applyNumberFormat="1" applyFont="1" applyBorder="1" applyAlignment="1">
      <alignment horizontal="centerContinuous"/>
    </xf>
    <xf numFmtId="49" fontId="3" fillId="0" borderId="5" xfId="0" applyNumberFormat="1" applyFont="1" applyBorder="1"/>
    <xf numFmtId="49" fontId="8" fillId="0" borderId="5" xfId="0" applyNumberFormat="1" applyFont="1" applyBorder="1"/>
    <xf numFmtId="49" fontId="9" fillId="0" borderId="5" xfId="0" applyNumberFormat="1" applyFont="1" applyBorder="1"/>
    <xf numFmtId="49" fontId="8" fillId="0" borderId="31" xfId="0" applyNumberFormat="1" applyFont="1" applyBorder="1" applyAlignment="1">
      <alignment horizontal="center"/>
    </xf>
    <xf numFmtId="49" fontId="8" fillId="0" borderId="5" xfId="0" applyNumberFormat="1" applyFont="1" applyBorder="1" applyAlignment="1">
      <alignment horizontal="center"/>
    </xf>
    <xf numFmtId="49" fontId="8" fillId="0" borderId="28" xfId="0" applyNumberFormat="1" applyFont="1" applyBorder="1" applyAlignment="1">
      <alignment horizontal="centerContinuous"/>
    </xf>
    <xf numFmtId="49" fontId="3" fillId="0" borderId="49" xfId="0" applyNumberFormat="1" applyFont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vertical="center"/>
    </xf>
    <xf numFmtId="165" fontId="3" fillId="0" borderId="53" xfId="0" applyNumberFormat="1" applyFont="1" applyBorder="1" applyAlignment="1">
      <alignment horizontal="right" vertical="center"/>
    </xf>
    <xf numFmtId="0" fontId="0" fillId="0" borderId="56" xfId="0" applyBorder="1" applyAlignment="1">
      <alignment vertical="center"/>
    </xf>
    <xf numFmtId="15" fontId="10" fillId="0" borderId="0" xfId="0" applyNumberFormat="1" applyFont="1" applyAlignment="1">
      <alignment horizontal="left"/>
    </xf>
    <xf numFmtId="15" fontId="8" fillId="0" borderId="0" xfId="0" applyNumberFormat="1" applyFont="1" applyAlignment="1">
      <alignment horizontal="left"/>
    </xf>
    <xf numFmtId="0" fontId="11" fillId="0" borderId="10" xfId="0" applyFont="1" applyBorder="1" applyAlignment="1">
      <alignment horizontal="left"/>
    </xf>
    <xf numFmtId="0" fontId="8" fillId="0" borderId="10" xfId="0" applyFont="1" applyBorder="1"/>
    <xf numFmtId="0" fontId="8" fillId="0" borderId="5" xfId="0" applyFont="1" applyBorder="1" applyAlignment="1">
      <alignment vertical="top"/>
    </xf>
    <xf numFmtId="0" fontId="3" fillId="0" borderId="8" xfId="0" applyFont="1" applyBorder="1" applyAlignment="1">
      <alignment horizontal="center"/>
    </xf>
    <xf numFmtId="166" fontId="3" fillId="0" borderId="29" xfId="0" applyNumberFormat="1" applyFont="1" applyBorder="1"/>
    <xf numFmtId="0" fontId="3" fillId="0" borderId="29" xfId="0" applyFont="1" applyBorder="1"/>
    <xf numFmtId="0" fontId="3" fillId="0" borderId="28" xfId="0" applyFont="1" applyBorder="1"/>
    <xf numFmtId="1" fontId="8" fillId="0" borderId="23" xfId="0" applyNumberFormat="1" applyFont="1" applyBorder="1" applyAlignment="1">
      <alignment horizontal="right"/>
    </xf>
    <xf numFmtId="165" fontId="8" fillId="0" borderId="7" xfId="0" applyNumberFormat="1" applyFont="1" applyBorder="1" applyAlignment="1">
      <alignment horizontal="right"/>
    </xf>
    <xf numFmtId="0" fontId="8" fillId="0" borderId="57" xfId="0" applyFont="1" applyBorder="1"/>
    <xf numFmtId="166" fontId="8" fillId="0" borderId="43" xfId="0" applyNumberFormat="1" applyFont="1" applyBorder="1"/>
    <xf numFmtId="0" fontId="8" fillId="0" borderId="43" xfId="0" applyFont="1" applyBorder="1"/>
    <xf numFmtId="165" fontId="8" fillId="0" borderId="44" xfId="0" applyNumberFormat="1" applyFont="1" applyBorder="1"/>
    <xf numFmtId="0" fontId="8" fillId="0" borderId="45" xfId="0" applyFont="1" applyBorder="1"/>
    <xf numFmtId="0" fontId="8" fillId="0" borderId="58" xfId="0" applyFont="1" applyBorder="1"/>
    <xf numFmtId="166" fontId="8" fillId="0" borderId="58" xfId="0" applyNumberFormat="1" applyFont="1" applyBorder="1"/>
    <xf numFmtId="0" fontId="8" fillId="0" borderId="59" xfId="0" applyFont="1" applyBorder="1"/>
    <xf numFmtId="0" fontId="8" fillId="0" borderId="56" xfId="0" applyFont="1" applyBorder="1"/>
    <xf numFmtId="165" fontId="8" fillId="0" borderId="52" xfId="0" applyNumberFormat="1" applyFont="1" applyBorder="1"/>
    <xf numFmtId="165" fontId="8" fillId="0" borderId="46" xfId="0" applyNumberFormat="1" applyFont="1" applyBorder="1"/>
    <xf numFmtId="0" fontId="8" fillId="0" borderId="54" xfId="0" applyFont="1" applyBorder="1"/>
    <xf numFmtId="0" fontId="8" fillId="0" borderId="60" xfId="0" applyFont="1" applyBorder="1"/>
    <xf numFmtId="166" fontId="8" fillId="0" borderId="60" xfId="0" applyNumberFormat="1" applyFont="1" applyBorder="1"/>
    <xf numFmtId="0" fontId="8" fillId="0" borderId="26" xfId="0" applyFont="1" applyBorder="1"/>
    <xf numFmtId="0" fontId="8" fillId="0" borderId="22" xfId="0" applyFont="1" applyBorder="1"/>
    <xf numFmtId="165" fontId="8" fillId="0" borderId="61" xfId="0" applyNumberFormat="1" applyFont="1" applyBorder="1"/>
    <xf numFmtId="0" fontId="8" fillId="0" borderId="62" xfId="0" applyFont="1" applyBorder="1"/>
    <xf numFmtId="165" fontId="3" fillId="0" borderId="54" xfId="0" applyNumberFormat="1" applyFont="1" applyBorder="1" applyAlignment="1">
      <alignment horizontal="right"/>
    </xf>
    <xf numFmtId="0" fontId="3" fillId="0" borderId="6" xfId="0" applyFont="1" applyBorder="1"/>
    <xf numFmtId="0" fontId="21" fillId="0" borderId="10" xfId="0" applyFont="1" applyBorder="1" applyAlignment="1">
      <alignment horizontal="left"/>
    </xf>
    <xf numFmtId="166" fontId="5" fillId="0" borderId="0" xfId="0" applyNumberFormat="1" applyFont="1" applyAlignment="1">
      <alignment horizontal="left"/>
    </xf>
    <xf numFmtId="166" fontId="9" fillId="0" borderId="0" xfId="0" applyNumberFormat="1" applyFont="1"/>
    <xf numFmtId="0" fontId="2" fillId="0" borderId="0" xfId="0" applyFont="1"/>
    <xf numFmtId="0" fontId="3" fillId="0" borderId="63" xfId="0" applyFont="1" applyBorder="1"/>
    <xf numFmtId="166" fontId="3" fillId="0" borderId="64" xfId="0" applyNumberFormat="1" applyFont="1" applyBorder="1"/>
    <xf numFmtId="0" fontId="3" fillId="0" borderId="64" xfId="0" applyFont="1" applyBorder="1"/>
    <xf numFmtId="165" fontId="3" fillId="0" borderId="64" xfId="0" applyNumberFormat="1" applyFont="1" applyBorder="1" applyAlignment="1">
      <alignment horizontal="right"/>
    </xf>
    <xf numFmtId="0" fontId="3" fillId="0" borderId="50" xfId="0" applyFont="1" applyBorder="1"/>
    <xf numFmtId="166" fontId="3" fillId="0" borderId="65" xfId="0" applyNumberFormat="1" applyFont="1" applyBorder="1"/>
    <xf numFmtId="0" fontId="3" fillId="0" borderId="65" xfId="0" applyFont="1" applyBorder="1"/>
    <xf numFmtId="165" fontId="3" fillId="0" borderId="65" xfId="0" applyNumberFormat="1" applyFont="1" applyBorder="1" applyAlignment="1">
      <alignment horizontal="right"/>
    </xf>
    <xf numFmtId="0" fontId="3" fillId="0" borderId="67" xfId="0" applyFont="1" applyBorder="1"/>
    <xf numFmtId="166" fontId="3" fillId="0" borderId="48" xfId="0" applyNumberFormat="1" applyFont="1" applyBorder="1"/>
    <xf numFmtId="0" fontId="3" fillId="0" borderId="48" xfId="0" applyFont="1" applyBorder="1"/>
    <xf numFmtId="165" fontId="3" fillId="0" borderId="48" xfId="0" applyNumberFormat="1" applyFont="1" applyBorder="1" applyAlignment="1">
      <alignment horizontal="right"/>
    </xf>
    <xf numFmtId="0" fontId="16" fillId="0" borderId="0" xfId="0" applyFont="1" applyAlignment="1">
      <alignment horizontal="center"/>
    </xf>
    <xf numFmtId="167" fontId="10" fillId="0" borderId="68" xfId="0" applyNumberFormat="1" applyFont="1" applyBorder="1" applyAlignment="1">
      <alignment horizontal="center"/>
    </xf>
    <xf numFmtId="167" fontId="11" fillId="0" borderId="69" xfId="0" applyNumberFormat="1" applyFont="1" applyBorder="1" applyAlignment="1">
      <alignment horizontal="center"/>
    </xf>
    <xf numFmtId="167" fontId="3" fillId="0" borderId="69" xfId="0" applyNumberFormat="1" applyFont="1" applyBorder="1"/>
    <xf numFmtId="167" fontId="8" fillId="0" borderId="71" xfId="0" applyNumberFormat="1" applyFont="1" applyBorder="1" applyAlignment="1">
      <alignment horizontal="center"/>
    </xf>
    <xf numFmtId="167" fontId="20" fillId="0" borderId="70" xfId="0" applyNumberFormat="1" applyFont="1" applyBorder="1"/>
    <xf numFmtId="49" fontId="25" fillId="0" borderId="29" xfId="1" applyNumberFormat="1" applyFont="1" applyBorder="1" applyAlignment="1">
      <alignment horizontal="right" wrapText="1"/>
    </xf>
    <xf numFmtId="15" fontId="8" fillId="0" borderId="4" xfId="0" applyNumberFormat="1" applyFont="1" applyBorder="1" applyAlignment="1">
      <alignment horizontal="center"/>
    </xf>
    <xf numFmtId="0" fontId="10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72" xfId="0" applyFont="1" applyBorder="1" applyAlignment="1">
      <alignment horizontal="centerContinuous"/>
    </xf>
    <xf numFmtId="0" fontId="8" fillId="0" borderId="73" xfId="0" applyFont="1" applyBorder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left"/>
    </xf>
    <xf numFmtId="0" fontId="3" fillId="0" borderId="16" xfId="0" applyFont="1" applyBorder="1" applyAlignment="1">
      <alignment horizontal="center"/>
    </xf>
    <xf numFmtId="166" fontId="3" fillId="0" borderId="16" xfId="0" applyNumberFormat="1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166" fontId="3" fillId="0" borderId="65" xfId="0" applyNumberFormat="1" applyFont="1" applyBorder="1" applyAlignment="1">
      <alignment horizontal="center"/>
    </xf>
    <xf numFmtId="0" fontId="3" fillId="0" borderId="66" xfId="0" applyFont="1" applyBorder="1"/>
    <xf numFmtId="0" fontId="26" fillId="0" borderId="0" xfId="0" applyFont="1" applyAlignment="1">
      <alignment horizontal="left"/>
    </xf>
    <xf numFmtId="0" fontId="27" fillId="0" borderId="0" xfId="0" applyFont="1"/>
    <xf numFmtId="49" fontId="24" fillId="0" borderId="53" xfId="1" applyNumberFormat="1" applyFont="1" applyBorder="1" applyAlignment="1">
      <alignment horizontal="center" vertical="center" wrapText="1"/>
    </xf>
    <xf numFmtId="49" fontId="24" fillId="0" borderId="53" xfId="1" applyNumberFormat="1" applyFont="1" applyBorder="1" applyAlignment="1">
      <alignment horizontal="left" vertical="center" wrapText="1"/>
    </xf>
    <xf numFmtId="49" fontId="24" fillId="0" borderId="53" xfId="1" applyNumberFormat="1" applyFont="1" applyBorder="1" applyAlignment="1">
      <alignment horizontal="right" vertical="center" wrapText="1"/>
    </xf>
    <xf numFmtId="49" fontId="24" fillId="0" borderId="56" xfId="1" applyNumberFormat="1" applyFont="1" applyBorder="1" applyAlignment="1">
      <alignment horizontal="right" vertical="center" wrapText="1"/>
    </xf>
    <xf numFmtId="49" fontId="24" fillId="0" borderId="52" xfId="1" applyNumberFormat="1" applyFont="1" applyBorder="1" applyAlignment="1">
      <alignment horizontal="right" vertical="center" wrapText="1"/>
    </xf>
    <xf numFmtId="49" fontId="24" fillId="0" borderId="46" xfId="1" applyNumberFormat="1" applyFont="1" applyBorder="1" applyAlignment="1">
      <alignment horizontal="right" vertical="center" wrapText="1"/>
    </xf>
    <xf numFmtId="49" fontId="24" fillId="0" borderId="0" xfId="1" applyNumberFormat="1" applyFont="1" applyAlignment="1">
      <alignment horizontal="left" vertical="center" wrapText="1"/>
    </xf>
    <xf numFmtId="49" fontId="24" fillId="0" borderId="0" xfId="1" applyNumberFormat="1" applyFont="1" applyAlignment="1">
      <alignment horizontal="right" vertical="center" wrapText="1"/>
    </xf>
    <xf numFmtId="165" fontId="8" fillId="0" borderId="47" xfId="0" applyNumberFormat="1" applyFont="1" applyBorder="1" applyAlignment="1">
      <alignment horizontal="right"/>
    </xf>
    <xf numFmtId="0" fontId="8" fillId="0" borderId="47" xfId="0" applyFont="1" applyBorder="1" applyAlignment="1">
      <alignment horizontal="right"/>
    </xf>
    <xf numFmtId="49" fontId="24" fillId="0" borderId="51" xfId="1" applyNumberFormat="1" applyFont="1" applyBorder="1" applyAlignment="1">
      <alignment horizontal="center" vertical="center" wrapText="1"/>
    </xf>
    <xf numFmtId="0" fontId="17" fillId="0" borderId="75" xfId="0" applyFont="1" applyBorder="1"/>
    <xf numFmtId="0" fontId="17" fillId="0" borderId="76" xfId="0" applyFont="1" applyBorder="1"/>
    <xf numFmtId="0" fontId="3" fillId="0" borderId="76" xfId="0" applyFont="1" applyBorder="1"/>
    <xf numFmtId="0" fontId="17" fillId="0" borderId="76" xfId="0" applyFont="1" applyBorder="1" applyAlignment="1">
      <alignment horizontal="center"/>
    </xf>
    <xf numFmtId="167" fontId="17" fillId="0" borderId="77" xfId="0" applyNumberFormat="1" applyFont="1" applyBorder="1"/>
    <xf numFmtId="0" fontId="17" fillId="0" borderId="78" xfId="0" applyFont="1" applyBorder="1"/>
    <xf numFmtId="0" fontId="17" fillId="0" borderId="79" xfId="0" applyFont="1" applyBorder="1"/>
    <xf numFmtId="0" fontId="3" fillId="0" borderId="79" xfId="0" applyFont="1" applyBorder="1"/>
    <xf numFmtId="0" fontId="17" fillId="0" borderId="79" xfId="0" applyFont="1" applyBorder="1" applyAlignment="1">
      <alignment horizontal="center"/>
    </xf>
    <xf numFmtId="167" fontId="17" fillId="0" borderId="80" xfId="0" applyNumberFormat="1" applyFont="1" applyBorder="1"/>
    <xf numFmtId="49" fontId="25" fillId="0" borderId="37" xfId="1" applyNumberFormat="1" applyFont="1" applyBorder="1" applyAlignment="1">
      <alignment horizontal="center" wrapText="1"/>
    </xf>
    <xf numFmtId="0" fontId="8" fillId="0" borderId="15" xfId="0" applyFont="1" applyBorder="1" applyAlignment="1">
      <alignment vertical="center"/>
    </xf>
    <xf numFmtId="165" fontId="8" fillId="0" borderId="81" xfId="0" applyNumberFormat="1" applyFont="1" applyBorder="1" applyAlignment="1">
      <alignment horizontal="right" vertical="center"/>
    </xf>
    <xf numFmtId="165" fontId="8" fillId="0" borderId="15" xfId="0" applyNumberFormat="1" applyFont="1" applyBorder="1" applyAlignment="1">
      <alignment horizontal="right" vertical="center"/>
    </xf>
    <xf numFmtId="165" fontId="8" fillId="0" borderId="62" xfId="0" applyNumberFormat="1" applyFont="1" applyBorder="1" applyAlignment="1">
      <alignment vertical="center"/>
    </xf>
    <xf numFmtId="165" fontId="8" fillId="0" borderId="61" xfId="0" applyNumberFormat="1" applyFont="1" applyBorder="1" applyAlignment="1">
      <alignment horizontal="right" vertical="center"/>
    </xf>
    <xf numFmtId="0" fontId="8" fillId="0" borderId="26" xfId="0" applyFont="1" applyBorder="1" applyAlignment="1">
      <alignment vertical="center"/>
    </xf>
    <xf numFmtId="49" fontId="25" fillId="0" borderId="52" xfId="1" applyNumberFormat="1" applyFont="1" applyBorder="1" applyAlignment="1">
      <alignment horizontal="center" vertical="center" wrapText="1"/>
    </xf>
    <xf numFmtId="0" fontId="8" fillId="0" borderId="27" xfId="0" applyFont="1" applyBorder="1" applyAlignment="1">
      <alignment horizontal="right"/>
    </xf>
    <xf numFmtId="0" fontId="29" fillId="0" borderId="55" xfId="0" applyFont="1" applyBorder="1"/>
    <xf numFmtId="0" fontId="30" fillId="0" borderId="55" xfId="0" applyFont="1" applyBorder="1" applyAlignment="1">
      <alignment horizontal="right"/>
    </xf>
    <xf numFmtId="0" fontId="25" fillId="0" borderId="27" xfId="0" applyFont="1" applyBorder="1" applyAlignment="1">
      <alignment horizontal="right"/>
    </xf>
    <xf numFmtId="0" fontId="31" fillId="0" borderId="55" xfId="0" applyFont="1" applyBorder="1" applyAlignment="1">
      <alignment horizontal="center"/>
    </xf>
    <xf numFmtId="0" fontId="31" fillId="0" borderId="55" xfId="0" applyFont="1" applyBorder="1" applyAlignment="1">
      <alignment horizontal="right"/>
    </xf>
    <xf numFmtId="0" fontId="29" fillId="0" borderId="74" xfId="0" applyFont="1" applyBorder="1" applyAlignment="1">
      <alignment horizontal="center"/>
    </xf>
    <xf numFmtId="0" fontId="29" fillId="0" borderId="55" xfId="0" applyFont="1" applyBorder="1" applyAlignment="1">
      <alignment horizontal="center"/>
    </xf>
    <xf numFmtId="166" fontId="29" fillId="0" borderId="55" xfId="0" applyNumberFormat="1" applyFont="1" applyBorder="1" applyAlignment="1">
      <alignment horizontal="center"/>
    </xf>
    <xf numFmtId="165" fontId="29" fillId="0" borderId="55" xfId="0" applyNumberFormat="1" applyFont="1" applyBorder="1"/>
    <xf numFmtId="49" fontId="24" fillId="0" borderId="0" xfId="1" applyNumberFormat="1" applyFont="1" applyAlignment="1">
      <alignment horizontal="center" vertical="top" wrapText="1"/>
    </xf>
    <xf numFmtId="49" fontId="24" fillId="0" borderId="0" xfId="1" applyNumberFormat="1" applyFont="1" applyAlignment="1">
      <alignment horizontal="left" vertical="top" wrapText="1"/>
    </xf>
    <xf numFmtId="49" fontId="24" fillId="0" borderId="4" xfId="1" applyNumberFormat="1" applyFont="1" applyBorder="1" applyAlignment="1">
      <alignment horizontal="right" vertical="top" wrapText="1"/>
    </xf>
    <xf numFmtId="49" fontId="24" fillId="0" borderId="65" xfId="1" applyNumberFormat="1" applyFont="1" applyBorder="1" applyAlignment="1">
      <alignment horizontal="center" vertical="top" wrapText="1"/>
    </xf>
    <xf numFmtId="49" fontId="24" fillId="0" borderId="65" xfId="1" applyNumberFormat="1" applyFont="1" applyBorder="1" applyAlignment="1">
      <alignment horizontal="right" vertical="top" wrapText="1"/>
    </xf>
    <xf numFmtId="166" fontId="3" fillId="0" borderId="65" xfId="0" applyNumberFormat="1" applyFont="1" applyBorder="1" applyAlignment="1">
      <alignment horizontal="center" vertical="top"/>
    </xf>
    <xf numFmtId="0" fontId="8" fillId="0" borderId="13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13" xfId="0" applyFont="1" applyBorder="1" applyAlignment="1">
      <alignment horizontal="center" vertical="top"/>
    </xf>
    <xf numFmtId="49" fontId="24" fillId="0" borderId="13" xfId="1" applyNumberFormat="1" applyFont="1" applyBorder="1" applyAlignment="1">
      <alignment horizontal="right" vertical="top" wrapText="1"/>
    </xf>
    <xf numFmtId="167" fontId="20" fillId="0" borderId="71" xfId="0" applyNumberFormat="1" applyFont="1" applyBorder="1"/>
    <xf numFmtId="0" fontId="8" fillId="0" borderId="77" xfId="0" applyFont="1" applyBorder="1" applyAlignment="1">
      <alignment vertical="top" wrapText="1"/>
    </xf>
    <xf numFmtId="0" fontId="29" fillId="0" borderId="80" xfId="0" applyFont="1" applyBorder="1"/>
    <xf numFmtId="0" fontId="8" fillId="0" borderId="61" xfId="0" applyFont="1" applyBorder="1" applyAlignment="1">
      <alignment horizontal="left"/>
    </xf>
    <xf numFmtId="0" fontId="25" fillId="0" borderId="61" xfId="0" applyFont="1" applyBorder="1" applyAlignment="1">
      <alignment horizontal="right" vertical="top"/>
    </xf>
    <xf numFmtId="167" fontId="8" fillId="0" borderId="83" xfId="0" applyNumberFormat="1" applyFont="1" applyBorder="1" applyAlignment="1">
      <alignment horizontal="right" vertical="top"/>
    </xf>
    <xf numFmtId="49" fontId="24" fillId="0" borderId="85" xfId="1" applyNumberFormat="1" applyFont="1" applyBorder="1" applyAlignment="1">
      <alignment horizontal="left" vertical="top" wrapText="1"/>
    </xf>
    <xf numFmtId="0" fontId="3" fillId="0" borderId="82" xfId="0" applyFont="1" applyBorder="1" applyAlignment="1">
      <alignment horizontal="center" vertical="top"/>
    </xf>
    <xf numFmtId="49" fontId="24" fillId="0" borderId="74" xfId="1" applyNumberFormat="1" applyFont="1" applyBorder="1" applyAlignment="1">
      <alignment horizontal="right" wrapText="1"/>
    </xf>
    <xf numFmtId="49" fontId="8" fillId="0" borderId="84" xfId="0" applyNumberFormat="1" applyFont="1" applyBorder="1" applyAlignment="1">
      <alignment horizontal="right" vertical="top"/>
    </xf>
    <xf numFmtId="49" fontId="24" fillId="0" borderId="50" xfId="1" applyNumberFormat="1" applyFont="1" applyBorder="1" applyAlignment="1">
      <alignment horizontal="center" vertical="top" wrapText="1"/>
    </xf>
    <xf numFmtId="49" fontId="24" fillId="0" borderId="16" xfId="1" applyNumberFormat="1" applyFont="1" applyBorder="1" applyAlignment="1">
      <alignment horizontal="right" wrapText="1"/>
    </xf>
    <xf numFmtId="49" fontId="24" fillId="0" borderId="0" xfId="1" applyNumberFormat="1" applyFont="1" applyAlignment="1">
      <alignment horizontal="right" wrapText="1"/>
    </xf>
    <xf numFmtId="49" fontId="24" fillId="0" borderId="65" xfId="1" applyNumberFormat="1" applyFont="1" applyBorder="1" applyAlignment="1">
      <alignment horizontal="right" vertical="center" wrapText="1"/>
    </xf>
    <xf numFmtId="0" fontId="8" fillId="0" borderId="30" xfId="0" applyFont="1" applyBorder="1" applyAlignment="1">
      <alignment horizontal="centerContinuous"/>
    </xf>
    <xf numFmtId="49" fontId="29" fillId="0" borderId="54" xfId="1" applyNumberFormat="1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Continuous"/>
    </xf>
    <xf numFmtId="0" fontId="8" fillId="0" borderId="86" xfId="0" applyFont="1" applyBorder="1" applyAlignment="1">
      <alignment horizontal="centerContinuous"/>
    </xf>
    <xf numFmtId="0" fontId="8" fillId="0" borderId="86" xfId="0" applyFont="1" applyBorder="1" applyAlignment="1">
      <alignment horizontal="center"/>
    </xf>
    <xf numFmtId="16" fontId="8" fillId="0" borderId="86" xfId="0" applyNumberFormat="1" applyFont="1" applyBorder="1" applyAlignment="1">
      <alignment horizontal="center"/>
    </xf>
    <xf numFmtId="0" fontId="8" fillId="0" borderId="86" xfId="0" applyFont="1" applyBorder="1" applyAlignment="1">
      <alignment horizontal="left"/>
    </xf>
    <xf numFmtId="0" fontId="0" fillId="0" borderId="85" xfId="0" applyBorder="1" applyAlignment="1">
      <alignment vertical="center"/>
    </xf>
    <xf numFmtId="49" fontId="8" fillId="0" borderId="49" xfId="0" applyNumberFormat="1" applyFont="1" applyBorder="1" applyAlignment="1">
      <alignment horizontal="centerContinuous"/>
    </xf>
    <xf numFmtId="0" fontId="8" fillId="0" borderId="44" xfId="0" applyFont="1" applyBorder="1" applyAlignment="1">
      <alignment horizontal="centerContinuous"/>
    </xf>
    <xf numFmtId="0" fontId="8" fillId="0" borderId="45" xfId="0" applyFont="1" applyBorder="1" applyAlignment="1">
      <alignment horizontal="centerContinuous"/>
    </xf>
    <xf numFmtId="0" fontId="3" fillId="0" borderId="87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66" fontId="3" fillId="0" borderId="34" xfId="0" applyNumberFormat="1" applyFont="1" applyBorder="1" applyAlignment="1">
      <alignment horizontal="center"/>
    </xf>
    <xf numFmtId="49" fontId="24" fillId="0" borderId="88" xfId="1" applyNumberFormat="1" applyFont="1" applyBorder="1" applyAlignment="1">
      <alignment horizontal="center" vertical="top" wrapText="1"/>
    </xf>
    <xf numFmtId="49" fontId="24" fillId="0" borderId="37" xfId="1" applyNumberFormat="1" applyFont="1" applyBorder="1" applyAlignment="1">
      <alignment horizontal="center" vertical="top" wrapText="1"/>
    </xf>
    <xf numFmtId="165" fontId="3" fillId="0" borderId="34" xfId="0" applyNumberFormat="1" applyFont="1" applyBorder="1"/>
    <xf numFmtId="49" fontId="24" fillId="0" borderId="37" xfId="1" applyNumberFormat="1" applyFont="1" applyBorder="1" applyAlignment="1">
      <alignment horizontal="right" vertical="top" wrapText="1"/>
    </xf>
    <xf numFmtId="165" fontId="3" fillId="0" borderId="14" xfId="0" applyNumberFormat="1" applyFont="1" applyBorder="1"/>
    <xf numFmtId="49" fontId="24" fillId="0" borderId="85" xfId="1" applyNumberFormat="1" applyFont="1" applyBorder="1" applyAlignment="1">
      <alignment horizontal="right" vertical="top" wrapText="1"/>
    </xf>
    <xf numFmtId="0" fontId="3" fillId="0" borderId="32" xfId="0" applyFont="1" applyBorder="1"/>
    <xf numFmtId="49" fontId="29" fillId="0" borderId="85" xfId="1" applyNumberFormat="1" applyFont="1" applyBorder="1" applyAlignment="1">
      <alignment horizontal="right" vertical="top" wrapText="1"/>
    </xf>
    <xf numFmtId="0" fontId="3" fillId="0" borderId="32" xfId="0" applyFont="1" applyBorder="1" applyAlignment="1">
      <alignment horizontal="center"/>
    </xf>
    <xf numFmtId="49" fontId="24" fillId="0" borderId="35" xfId="1" applyNumberFormat="1" applyFont="1" applyBorder="1" applyAlignment="1">
      <alignment horizontal="center" vertical="top" wrapText="1"/>
    </xf>
    <xf numFmtId="49" fontId="24" fillId="0" borderId="85" xfId="1" applyNumberFormat="1" applyFont="1" applyBorder="1" applyAlignment="1">
      <alignment horizontal="center" vertical="top" wrapText="1"/>
    </xf>
    <xf numFmtId="49" fontId="24" fillId="0" borderId="35" xfId="1" applyNumberFormat="1" applyFont="1" applyBorder="1" applyAlignment="1">
      <alignment horizontal="right" vertical="top" wrapText="1"/>
    </xf>
    <xf numFmtId="165" fontId="3" fillId="0" borderId="72" xfId="0" applyNumberFormat="1" applyFont="1" applyBorder="1"/>
    <xf numFmtId="49" fontId="24" fillId="0" borderId="89" xfId="1" applyNumberFormat="1" applyFont="1" applyBorder="1" applyAlignment="1">
      <alignment horizontal="right" vertical="top" wrapText="1"/>
    </xf>
    <xf numFmtId="0" fontId="3" fillId="0" borderId="90" xfId="0" applyFont="1" applyBorder="1"/>
    <xf numFmtId="49" fontId="24" fillId="0" borderId="55" xfId="1" applyNumberFormat="1" applyFont="1" applyBorder="1" applyAlignment="1">
      <alignment horizontal="left" vertical="top" wrapText="1"/>
    </xf>
    <xf numFmtId="0" fontId="3" fillId="0" borderId="90" xfId="0" applyFont="1" applyBorder="1" applyAlignment="1">
      <alignment vertical="top"/>
    </xf>
    <xf numFmtId="0" fontId="3" fillId="0" borderId="14" xfId="0" applyFont="1" applyBorder="1"/>
    <xf numFmtId="15" fontId="8" fillId="0" borderId="0" xfId="0" applyNumberFormat="1" applyFont="1" applyAlignment="1">
      <alignment horizontal="centerContinuous"/>
    </xf>
    <xf numFmtId="0" fontId="17" fillId="0" borderId="10" xfId="0" applyFont="1" applyBorder="1" applyAlignment="1">
      <alignment horizontal="centerContinuous"/>
    </xf>
    <xf numFmtId="0" fontId="8" fillId="0" borderId="0" xfId="0" applyFont="1" applyAlignment="1">
      <alignment vertical="top"/>
    </xf>
    <xf numFmtId="0" fontId="25" fillId="0" borderId="91" xfId="0" applyFont="1" applyBorder="1"/>
    <xf numFmtId="49" fontId="8" fillId="0" borderId="92" xfId="0" applyNumberFormat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49" fontId="3" fillId="0" borderId="90" xfId="0" applyNumberFormat="1" applyFont="1" applyBorder="1" applyAlignment="1">
      <alignment horizontal="right"/>
    </xf>
    <xf numFmtId="164" fontId="3" fillId="0" borderId="65" xfId="0" applyNumberFormat="1" applyFont="1" applyBorder="1" applyAlignment="1">
      <alignment horizontal="right"/>
    </xf>
    <xf numFmtId="165" fontId="3" fillId="0" borderId="89" xfId="0" applyNumberFormat="1" applyFont="1" applyBorder="1" applyAlignment="1">
      <alignment horizontal="right"/>
    </xf>
    <xf numFmtId="49" fontId="3" fillId="0" borderId="53" xfId="0" applyNumberFormat="1" applyFont="1" applyBorder="1" applyAlignment="1">
      <alignment horizontal="right"/>
    </xf>
    <xf numFmtId="164" fontId="3" fillId="0" borderId="52" xfId="0" applyNumberFormat="1" applyFont="1" applyBorder="1" applyAlignment="1">
      <alignment horizontal="right"/>
    </xf>
    <xf numFmtId="0" fontId="3" fillId="0" borderId="46" xfId="0" applyFont="1" applyBorder="1" applyAlignment="1">
      <alignment horizontal="right"/>
    </xf>
    <xf numFmtId="0" fontId="3" fillId="0" borderId="54" xfId="0" applyFont="1" applyBorder="1"/>
    <xf numFmtId="0" fontId="3" fillId="0" borderId="59" xfId="0" applyFont="1" applyBorder="1"/>
    <xf numFmtId="166" fontId="3" fillId="0" borderId="56" xfId="0" applyNumberFormat="1" applyFont="1" applyBorder="1"/>
    <xf numFmtId="0" fontId="3" fillId="0" borderId="56" xfId="0" applyFont="1" applyBorder="1"/>
    <xf numFmtId="164" fontId="3" fillId="0" borderId="52" xfId="0" applyNumberFormat="1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74" xfId="0" applyFont="1" applyBorder="1"/>
    <xf numFmtId="166" fontId="3" fillId="0" borderId="55" xfId="0" applyNumberFormat="1" applyFont="1" applyBorder="1"/>
    <xf numFmtId="0" fontId="3" fillId="0" borderId="55" xfId="0" applyFont="1" applyBorder="1"/>
    <xf numFmtId="49" fontId="3" fillId="0" borderId="81" xfId="0" applyNumberFormat="1" applyFont="1" applyBorder="1" applyAlignment="1">
      <alignment horizontal="right"/>
    </xf>
    <xf numFmtId="164" fontId="3" fillId="0" borderId="61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165" fontId="8" fillId="0" borderId="92" xfId="0" applyNumberFormat="1" applyFont="1" applyBorder="1" applyAlignment="1">
      <alignment horizontal="right"/>
    </xf>
    <xf numFmtId="0" fontId="8" fillId="0" borderId="49" xfId="0" applyFont="1" applyBorder="1"/>
    <xf numFmtId="166" fontId="8" fillId="0" borderId="86" xfId="0" applyNumberFormat="1" applyFont="1" applyBorder="1"/>
    <xf numFmtId="0" fontId="8" fillId="0" borderId="86" xfId="0" applyFont="1" applyBorder="1"/>
    <xf numFmtId="49" fontId="8" fillId="0" borderId="86" xfId="0" applyNumberFormat="1" applyFont="1" applyBorder="1" applyAlignment="1">
      <alignment horizontal="right"/>
    </xf>
    <xf numFmtId="49" fontId="8" fillId="0" borderId="44" xfId="0" applyNumberFormat="1" applyFont="1" applyBorder="1" applyAlignment="1">
      <alignment horizontal="right"/>
    </xf>
    <xf numFmtId="1" fontId="3" fillId="0" borderId="53" xfId="0" applyNumberFormat="1" applyFont="1" applyBorder="1"/>
    <xf numFmtId="166" fontId="3" fillId="0" borderId="52" xfId="0" applyNumberFormat="1" applyFont="1" applyBorder="1"/>
    <xf numFmtId="2" fontId="3" fillId="0" borderId="52" xfId="0" applyNumberFormat="1" applyFont="1" applyBorder="1"/>
    <xf numFmtId="0" fontId="29" fillId="0" borderId="54" xfId="0" applyFont="1" applyBorder="1"/>
    <xf numFmtId="1" fontId="8" fillId="0" borderId="53" xfId="0" applyNumberFormat="1" applyFont="1" applyBorder="1"/>
    <xf numFmtId="2" fontId="8" fillId="0" borderId="52" xfId="0" applyNumberFormat="1" applyFont="1" applyBorder="1"/>
    <xf numFmtId="2" fontId="8" fillId="0" borderId="46" xfId="0" applyNumberFormat="1" applyFont="1" applyBorder="1"/>
    <xf numFmtId="1" fontId="3" fillId="0" borderId="51" xfId="0" applyNumberFormat="1" applyFont="1" applyBorder="1"/>
    <xf numFmtId="0" fontId="3" fillId="0" borderId="52" xfId="0" applyFont="1" applyBorder="1"/>
    <xf numFmtId="1" fontId="3" fillId="0" borderId="93" xfId="0" applyNumberFormat="1" applyFont="1" applyBorder="1"/>
    <xf numFmtId="166" fontId="3" fillId="0" borderId="61" xfId="0" applyNumberFormat="1" applyFont="1" applyBorder="1"/>
    <xf numFmtId="0" fontId="3" fillId="0" borderId="61" xfId="0" applyFont="1" applyBorder="1"/>
    <xf numFmtId="2" fontId="3" fillId="0" borderId="61" xfId="0" applyNumberFormat="1" applyFont="1" applyBorder="1"/>
    <xf numFmtId="165" fontId="8" fillId="0" borderId="15" xfId="0" applyNumberFormat="1" applyFont="1" applyBorder="1"/>
    <xf numFmtId="0" fontId="29" fillId="0" borderId="62" xfId="0" applyFont="1" applyBorder="1"/>
    <xf numFmtId="0" fontId="3" fillId="0" borderId="12" xfId="0" applyFont="1" applyBorder="1"/>
    <xf numFmtId="0" fontId="8" fillId="0" borderId="52" xfId="0" applyFont="1" applyBorder="1"/>
    <xf numFmtId="0" fontId="8" fillId="0" borderId="15" xfId="0" applyFont="1" applyBorder="1"/>
    <xf numFmtId="165" fontId="3" fillId="0" borderId="94" xfId="0" applyNumberFormat="1" applyFont="1" applyBorder="1" applyAlignment="1">
      <alignment horizontal="right"/>
    </xf>
    <xf numFmtId="0" fontId="3" fillId="0" borderId="95" xfId="0" applyFont="1" applyBorder="1"/>
    <xf numFmtId="0" fontId="3" fillId="0" borderId="27" xfId="0" applyFont="1" applyBorder="1"/>
    <xf numFmtId="15" fontId="11" fillId="0" borderId="0" xfId="0" applyNumberFormat="1" applyFont="1" applyAlignment="1">
      <alignment horizontal="left"/>
    </xf>
    <xf numFmtId="49" fontId="8" fillId="0" borderId="0" xfId="0" quotePrefix="1" applyNumberFormat="1" applyFont="1" applyAlignment="1">
      <alignment horizontal="center"/>
    </xf>
    <xf numFmtId="0" fontId="11" fillId="0" borderId="2" xfId="0" applyFont="1" applyBorder="1" applyAlignment="1">
      <alignment horizontal="left"/>
    </xf>
    <xf numFmtId="0" fontId="22" fillId="0" borderId="5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4" xfId="0" applyFont="1" applyBorder="1" applyAlignment="1">
      <alignment horizontal="center"/>
    </xf>
    <xf numFmtId="49" fontId="28" fillId="0" borderId="22" xfId="0" applyNumberFormat="1" applyFont="1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10" fillId="0" borderId="0" xfId="0" applyFont="1" applyAlignment="1">
      <alignment horizontal="left"/>
    </xf>
    <xf numFmtId="15" fontId="11" fillId="0" borderId="0" xfId="0" applyNumberFormat="1" applyFont="1" applyAlignment="1">
      <alignment horizontal="left"/>
    </xf>
    <xf numFmtId="15" fontId="11" fillId="0" borderId="69" xfId="0" applyNumberFormat="1" applyFont="1" applyBorder="1" applyAlignment="1">
      <alignment horizontal="left"/>
    </xf>
    <xf numFmtId="0" fontId="8" fillId="0" borderId="13" xfId="0" applyFont="1" applyBorder="1" applyAlignment="1">
      <alignment horizontal="center"/>
    </xf>
    <xf numFmtId="0" fontId="8" fillId="0" borderId="31" xfId="0" applyFont="1" applyBorder="1" applyAlignment="1">
      <alignment vertical="top" wrapText="1"/>
    </xf>
    <xf numFmtId="0" fontId="8" fillId="0" borderId="28" xfId="0" applyFont="1" applyBorder="1" applyAlignment="1">
      <alignment vertical="top" wrapText="1"/>
    </xf>
    <xf numFmtId="0" fontId="8" fillId="0" borderId="13" xfId="0" applyFont="1" applyBorder="1" applyAlignment="1">
      <alignment vertical="top" wrapText="1"/>
    </xf>
    <xf numFmtId="0" fontId="8" fillId="0" borderId="29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29" xfId="0" applyFont="1" applyBorder="1" applyAlignment="1">
      <alignment vertical="top"/>
    </xf>
    <xf numFmtId="0" fontId="8" fillId="0" borderId="13" xfId="0" applyFont="1" applyBorder="1" applyAlignment="1">
      <alignment horizontal="center" vertical="top"/>
    </xf>
    <xf numFmtId="0" fontId="8" fillId="0" borderId="29" xfId="0" applyFont="1" applyBorder="1" applyAlignment="1">
      <alignment horizontal="center" vertical="top"/>
    </xf>
    <xf numFmtId="0" fontId="16" fillId="0" borderId="69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7">
    <dxf>
      <font>
        <b/>
        <i val="0"/>
        <color rgb="FFFF3399"/>
      </font>
    </dxf>
    <dxf>
      <font>
        <b/>
        <i val="0"/>
        <color rgb="FF0070C0"/>
      </font>
    </dxf>
    <dxf>
      <font>
        <color theme="1"/>
      </font>
    </dxf>
    <dxf>
      <font>
        <b/>
        <i val="0"/>
        <color rgb="FFFF3399"/>
      </font>
    </dxf>
    <dxf>
      <font>
        <b/>
        <i val="0"/>
        <color rgb="FF0070C0"/>
      </font>
    </dxf>
    <dxf>
      <font>
        <b/>
        <i val="0"/>
        <color rgb="FFFF3399"/>
      </font>
    </dxf>
    <dxf>
      <font>
        <b/>
        <i val="0"/>
        <color rgb="FF0070C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5B-4DCA-9E94-2C4301726BAC}"/>
            </c:ext>
          </c:extLst>
        </c:ser>
        <c:ser>
          <c:idx val="1"/>
          <c:order val="2"/>
          <c:tx>
            <c:v>Available hours after MOW  (C)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5B-4DCA-9E94-2C4301726BAC}"/>
            </c:ext>
          </c:extLst>
        </c:ser>
        <c:ser>
          <c:idx val="2"/>
          <c:order val="3"/>
          <c:tx>
            <c:v>Available hours after MOW with Overtime(G) =C+(F*C)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5B-4DCA-9E94-2C4301726BAC}"/>
            </c:ext>
          </c:extLst>
        </c:ser>
        <c:ser>
          <c:idx val="3"/>
          <c:order val="4"/>
          <c:tx>
            <c:v>Committed hours (D)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5B-4DCA-9E94-2C4301726BAC}"/>
            </c:ext>
          </c:extLst>
        </c:ser>
        <c:ser>
          <c:idx val="4"/>
          <c:order val="5"/>
          <c:tx>
            <c:v>Committed hours with Expected Projects (H) = D+E 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CHA1E!$E$48:$V$48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5B-4DCA-9E94-2C4301726BAC}"/>
            </c:ext>
          </c:extLst>
        </c:ser>
        <c:ser>
          <c:idx val="5"/>
          <c:order val="6"/>
          <c:tx>
            <c:v>Committed hours with Expected proj, Active (K) = D+J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CHA1E!$E$49:$V$49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5B-4DCA-9E94-2C4301726BAC}"/>
            </c:ext>
          </c:extLst>
        </c:ser>
        <c:ser>
          <c:idx val="6"/>
          <c:order val="7"/>
          <c:tx>
            <c:v>Available hours after MOW with OT + Subcont (N)=G+L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5B-4DCA-9E94-2C430172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  <c:extLst>
          <c:ext xmlns:c15="http://schemas.microsoft.com/office/drawing/2012/chart" uri="{02D57815-91ED-43cb-92C2-25804820EDAC}">
            <c15:filteredLineSeries>
              <c15:ser>
                <c:idx val="7"/>
                <c:order val="0"/>
                <c:tx>
                  <c:strRef>
                    <c:extLst>
                      <c:ext uri="{02D57815-91ED-43cb-92C2-25804820EDAC}">
                        <c15:formulaRef>
                          <c15:sqref>CHA1E!$E$9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CHA1E!$F$9:$V$9</c15:sqref>
                        </c15:formulaRef>
                      </c:ext>
                    </c:extLst>
                    <c:numCache>
                      <c:formatCode>@</c:formatCode>
                      <c:ptCount val="17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0B60-4D56-A68F-02305AB50A1E}"/>
                  </c:ext>
                </c:extLst>
              </c15:ser>
            </c15:filteredLineSeries>
          </c:ext>
        </c:extLst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6799651535777"/>
          <c:y val="0.19124544467665275"/>
          <c:w val="4.3672890053499287E-3"/>
          <c:h val="5.4749520941691759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9" name="Picture 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66</xdr:row>
      <xdr:rowOff>0</xdr:rowOff>
    </xdr:from>
    <xdr:to>
      <xdr:col>22</xdr:col>
      <xdr:colOff>445770</xdr:colOff>
      <xdr:row>108</xdr:row>
      <xdr:rowOff>158115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15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138127</xdr:rowOff>
    </xdr:from>
    <xdr:to>
      <xdr:col>4</xdr:col>
      <xdr:colOff>495300</xdr:colOff>
      <xdr:row>0</xdr:row>
      <xdr:rowOff>280972</xdr:rowOff>
    </xdr:to>
    <xdr:pic>
      <xdr:nvPicPr>
        <xdr:cNvPr id="4125" name="Picture 2">
          <a:extLst>
            <a:ext uri="{FF2B5EF4-FFF2-40B4-BE49-F238E27FC236}">
              <a16:creationId xmlns:a16="http://schemas.microsoft.com/office/drawing/2014/main" id="{00000000-0008-0000-0300-00001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" y="1381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138127</xdr:rowOff>
    </xdr:from>
    <xdr:to>
      <xdr:col>4</xdr:col>
      <xdr:colOff>485775</xdr:colOff>
      <xdr:row>0</xdr:row>
      <xdr:rowOff>280972</xdr:rowOff>
    </xdr:to>
    <xdr:pic>
      <xdr:nvPicPr>
        <xdr:cNvPr id="6172" name="Picture 2">
          <a:extLst>
            <a:ext uri="{FF2B5EF4-FFF2-40B4-BE49-F238E27FC236}">
              <a16:creationId xmlns:a16="http://schemas.microsoft.com/office/drawing/2014/main" id="{00000000-0008-0000-0400-00001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1381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90502</xdr:rowOff>
    </xdr:from>
    <xdr:to>
      <xdr:col>4</xdr:col>
      <xdr:colOff>476250</xdr:colOff>
      <xdr:row>1</xdr:row>
      <xdr:rowOff>233347</xdr:rowOff>
    </xdr:to>
    <xdr:pic>
      <xdr:nvPicPr>
        <xdr:cNvPr id="7196" name="Picture 2">
          <a:extLst>
            <a:ext uri="{FF2B5EF4-FFF2-40B4-BE49-F238E27FC236}">
              <a16:creationId xmlns:a16="http://schemas.microsoft.com/office/drawing/2014/main" id="{00000000-0008-0000-0500-00001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100" y="4048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108776</xdr:rowOff>
    </xdr:from>
    <xdr:to>
      <xdr:col>3</xdr:col>
      <xdr:colOff>723900</xdr:colOff>
      <xdr:row>1</xdr:row>
      <xdr:rowOff>253174</xdr:rowOff>
    </xdr:to>
    <xdr:pic>
      <xdr:nvPicPr>
        <xdr:cNvPr id="5149" name="Picture 2">
          <a:extLst>
            <a:ext uri="{FF2B5EF4-FFF2-40B4-BE49-F238E27FC236}">
              <a16:creationId xmlns:a16="http://schemas.microsoft.com/office/drawing/2014/main" id="{00000000-0008-0000-0600-00001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23825" y="489776"/>
          <a:ext cx="1771650" cy="144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108776</xdr:rowOff>
    </xdr:from>
    <xdr:to>
      <xdr:col>3</xdr:col>
      <xdr:colOff>723900</xdr:colOff>
      <xdr:row>1</xdr:row>
      <xdr:rowOff>253174</xdr:rowOff>
    </xdr:to>
    <xdr:pic>
      <xdr:nvPicPr>
        <xdr:cNvPr id="9244" name="Picture 2">
          <a:extLst>
            <a:ext uri="{FF2B5EF4-FFF2-40B4-BE49-F238E27FC236}">
              <a16:creationId xmlns:a16="http://schemas.microsoft.com/office/drawing/2014/main" id="{00000000-0008-0000-0700-00001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23825" y="489776"/>
          <a:ext cx="1771650" cy="144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</xdr:row>
      <xdr:rowOff>90502</xdr:rowOff>
    </xdr:from>
    <xdr:to>
      <xdr:col>2</xdr:col>
      <xdr:colOff>619125</xdr:colOff>
      <xdr:row>1</xdr:row>
      <xdr:rowOff>233347</xdr:rowOff>
    </xdr:to>
    <xdr:pic>
      <xdr:nvPicPr>
        <xdr:cNvPr id="11292" name="Picture 2">
          <a:extLst>
            <a:ext uri="{FF2B5EF4-FFF2-40B4-BE49-F238E27FC236}">
              <a16:creationId xmlns:a16="http://schemas.microsoft.com/office/drawing/2014/main" id="{00000000-0008-0000-0800-00001C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5725" y="3857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90502</xdr:rowOff>
    </xdr:from>
    <xdr:to>
      <xdr:col>2</xdr:col>
      <xdr:colOff>628650</xdr:colOff>
      <xdr:row>1</xdr:row>
      <xdr:rowOff>233347</xdr:rowOff>
    </xdr:to>
    <xdr:pic>
      <xdr:nvPicPr>
        <xdr:cNvPr id="22548" name="Picture 2">
          <a:extLst>
            <a:ext uri="{FF2B5EF4-FFF2-40B4-BE49-F238E27FC236}">
              <a16:creationId xmlns:a16="http://schemas.microsoft.com/office/drawing/2014/main" id="{00000000-0008-0000-0900-000014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5250" y="3857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4"/>
  <sheetViews>
    <sheetView workbookViewId="0">
      <selection activeCell="C91" sqref="C91"/>
    </sheetView>
  </sheetViews>
  <sheetFormatPr defaultRowHeight="12.75" x14ac:dyDescent="0.2"/>
  <cols>
    <col min="1" max="1" width="2.5703125" customWidth="1"/>
    <col min="2" max="2" width="2.140625" customWidth="1"/>
    <col min="5" max="5" width="40.5703125" customWidth="1"/>
    <col min="8" max="8" width="1.5703125" customWidth="1"/>
  </cols>
  <sheetData>
    <row r="1" spans="1:8" x14ac:dyDescent="0.2">
      <c r="A1" s="58"/>
      <c r="B1" s="27"/>
      <c r="C1" s="27"/>
      <c r="D1" s="27"/>
      <c r="E1" s="27"/>
      <c r="F1" s="27"/>
      <c r="G1" s="27"/>
      <c r="H1" s="59"/>
    </row>
    <row r="2" spans="1:8" ht="20.25" x14ac:dyDescent="0.3">
      <c r="A2" s="60" t="s">
        <v>174</v>
      </c>
      <c r="B2" s="61"/>
      <c r="C2" s="61"/>
      <c r="D2" s="61"/>
      <c r="E2" s="61"/>
      <c r="F2" s="61"/>
      <c r="G2" s="61"/>
      <c r="H2" s="62"/>
    </row>
    <row r="3" spans="1:8" x14ac:dyDescent="0.2">
      <c r="A3" s="63"/>
      <c r="H3" s="64"/>
    </row>
    <row r="4" spans="1:8" x14ac:dyDescent="0.2">
      <c r="A4" s="65" t="s">
        <v>0</v>
      </c>
      <c r="B4" s="66"/>
      <c r="C4" s="66"/>
      <c r="D4" s="66"/>
      <c r="E4" s="66"/>
      <c r="F4" s="66"/>
      <c r="G4" s="66"/>
      <c r="H4" s="67"/>
    </row>
    <row r="5" spans="1:8" x14ac:dyDescent="0.2">
      <c r="A5" s="74"/>
      <c r="B5" s="75"/>
      <c r="C5" s="75"/>
      <c r="D5" s="75"/>
      <c r="E5" s="75"/>
      <c r="F5" s="75"/>
      <c r="G5" s="75"/>
      <c r="H5" s="76"/>
    </row>
    <row r="6" spans="1:8" x14ac:dyDescent="0.2">
      <c r="A6" s="63"/>
      <c r="B6" s="68" t="s">
        <v>1</v>
      </c>
      <c r="H6" s="64"/>
    </row>
    <row r="7" spans="1:8" x14ac:dyDescent="0.2">
      <c r="A7" s="63"/>
      <c r="H7" s="64"/>
    </row>
    <row r="8" spans="1:8" x14ac:dyDescent="0.2">
      <c r="A8" s="63"/>
      <c r="B8" s="69" t="s">
        <v>2</v>
      </c>
      <c r="C8" s="68"/>
      <c r="H8" s="64"/>
    </row>
    <row r="9" spans="1:8" x14ac:dyDescent="0.2">
      <c r="A9" s="63"/>
      <c r="B9">
        <v>1</v>
      </c>
      <c r="C9" t="s">
        <v>116</v>
      </c>
      <c r="H9" s="64"/>
    </row>
    <row r="10" spans="1:8" x14ac:dyDescent="0.2">
      <c r="A10" s="63"/>
      <c r="B10">
        <v>2</v>
      </c>
      <c r="C10" t="s">
        <v>112</v>
      </c>
      <c r="H10" s="64"/>
    </row>
    <row r="11" spans="1:8" x14ac:dyDescent="0.2">
      <c r="A11" s="63"/>
      <c r="B11">
        <v>3</v>
      </c>
      <c r="C11" t="s">
        <v>113</v>
      </c>
      <c r="H11" s="64"/>
    </row>
    <row r="12" spans="1:8" x14ac:dyDescent="0.2">
      <c r="A12" s="63"/>
      <c r="B12">
        <v>4</v>
      </c>
      <c r="C12" t="s">
        <v>114</v>
      </c>
      <c r="H12" s="64"/>
    </row>
    <row r="13" spans="1:8" x14ac:dyDescent="0.2">
      <c r="A13" s="63"/>
      <c r="B13">
        <v>5</v>
      </c>
      <c r="C13" t="s">
        <v>115</v>
      </c>
      <c r="H13" s="64"/>
    </row>
    <row r="14" spans="1:8" x14ac:dyDescent="0.2">
      <c r="A14" s="63"/>
      <c r="B14">
        <v>6</v>
      </c>
      <c r="C14" t="s">
        <v>117</v>
      </c>
      <c r="H14" s="64"/>
    </row>
    <row r="15" spans="1:8" x14ac:dyDescent="0.2">
      <c r="A15" s="63"/>
      <c r="B15">
        <v>7</v>
      </c>
      <c r="C15" t="s">
        <v>127</v>
      </c>
      <c r="D15" s="210" t="s">
        <v>175</v>
      </c>
      <c r="H15" s="64"/>
    </row>
    <row r="16" spans="1:8" x14ac:dyDescent="0.2">
      <c r="A16" s="63"/>
      <c r="C16" s="1" t="s">
        <v>98</v>
      </c>
      <c r="H16" s="64"/>
    </row>
    <row r="17" spans="1:8" x14ac:dyDescent="0.2">
      <c r="A17" s="63"/>
      <c r="C17" s="1" t="s">
        <v>99</v>
      </c>
      <c r="H17" s="64"/>
    </row>
    <row r="18" spans="1:8" x14ac:dyDescent="0.2">
      <c r="A18" s="63"/>
      <c r="C18" s="1" t="s">
        <v>100</v>
      </c>
      <c r="H18" s="64"/>
    </row>
    <row r="19" spans="1:8" x14ac:dyDescent="0.2">
      <c r="A19" s="63"/>
      <c r="C19" s="1"/>
      <c r="H19" s="64"/>
    </row>
    <row r="20" spans="1:8" x14ac:dyDescent="0.2">
      <c r="A20" s="63"/>
      <c r="B20" s="1">
        <v>1</v>
      </c>
      <c r="C20" s="68" t="s">
        <v>3</v>
      </c>
      <c r="H20" s="64"/>
    </row>
    <row r="21" spans="1:8" x14ac:dyDescent="0.2">
      <c r="A21" s="63"/>
      <c r="B21" s="1"/>
      <c r="C21" s="68"/>
      <c r="H21" s="64"/>
    </row>
    <row r="22" spans="1:8" x14ac:dyDescent="0.2">
      <c r="A22" s="63"/>
      <c r="C22" t="s">
        <v>4</v>
      </c>
      <c r="H22" s="64"/>
    </row>
    <row r="23" spans="1:8" x14ac:dyDescent="0.2">
      <c r="A23" s="63"/>
      <c r="C23" t="s">
        <v>5</v>
      </c>
      <c r="H23" s="64"/>
    </row>
    <row r="24" spans="1:8" x14ac:dyDescent="0.2">
      <c r="A24" s="63"/>
      <c r="C24" t="s">
        <v>6</v>
      </c>
      <c r="H24" s="64"/>
    </row>
    <row r="25" spans="1:8" x14ac:dyDescent="0.2">
      <c r="A25" s="63"/>
      <c r="H25" s="64"/>
    </row>
    <row r="26" spans="1:8" x14ac:dyDescent="0.2">
      <c r="A26" s="63"/>
      <c r="C26" t="s">
        <v>7</v>
      </c>
      <c r="H26" s="64"/>
    </row>
    <row r="27" spans="1:8" x14ac:dyDescent="0.2">
      <c r="A27" s="63"/>
      <c r="C27" t="s">
        <v>8</v>
      </c>
      <c r="H27" s="64"/>
    </row>
    <row r="28" spans="1:8" x14ac:dyDescent="0.2">
      <c r="A28" s="63"/>
      <c r="H28" s="64"/>
    </row>
    <row r="29" spans="1:8" x14ac:dyDescent="0.2">
      <c r="A29" s="63"/>
      <c r="C29" s="70" t="s">
        <v>101</v>
      </c>
      <c r="H29" s="64"/>
    </row>
    <row r="30" spans="1:8" x14ac:dyDescent="0.2">
      <c r="A30" s="63"/>
      <c r="C30" s="70"/>
      <c r="H30" s="64"/>
    </row>
    <row r="31" spans="1:8" x14ac:dyDescent="0.2">
      <c r="A31" s="63"/>
      <c r="C31" t="s">
        <v>9</v>
      </c>
      <c r="H31" s="64"/>
    </row>
    <row r="32" spans="1:8" x14ac:dyDescent="0.2">
      <c r="A32" s="63"/>
      <c r="H32" s="64"/>
    </row>
    <row r="33" spans="1:8" x14ac:dyDescent="0.2">
      <c r="A33" s="63"/>
      <c r="C33" t="s">
        <v>102</v>
      </c>
      <c r="H33" s="64"/>
    </row>
    <row r="34" spans="1:8" x14ac:dyDescent="0.2">
      <c r="A34" s="63"/>
      <c r="C34" t="s">
        <v>104</v>
      </c>
      <c r="H34" s="64"/>
    </row>
    <row r="35" spans="1:8" x14ac:dyDescent="0.2">
      <c r="A35" s="63"/>
      <c r="C35" t="s">
        <v>105</v>
      </c>
      <c r="H35" s="64"/>
    </row>
    <row r="36" spans="1:8" x14ac:dyDescent="0.2">
      <c r="A36" s="63"/>
      <c r="H36" s="64"/>
    </row>
    <row r="37" spans="1:8" x14ac:dyDescent="0.2">
      <c r="A37" s="63"/>
      <c r="C37" t="s">
        <v>103</v>
      </c>
      <c r="H37" s="64"/>
    </row>
    <row r="38" spans="1:8" x14ac:dyDescent="0.2">
      <c r="A38" s="63"/>
      <c r="H38" s="64"/>
    </row>
    <row r="39" spans="1:8" x14ac:dyDescent="0.2">
      <c r="A39" s="63"/>
      <c r="C39" t="s">
        <v>106</v>
      </c>
      <c r="H39" s="64"/>
    </row>
    <row r="40" spans="1:8" x14ac:dyDescent="0.2">
      <c r="A40" s="63"/>
      <c r="C40" t="s">
        <v>107</v>
      </c>
      <c r="H40" s="64"/>
    </row>
    <row r="41" spans="1:8" x14ac:dyDescent="0.2">
      <c r="A41" s="63"/>
      <c r="C41" t="s">
        <v>108</v>
      </c>
      <c r="H41" s="64"/>
    </row>
    <row r="42" spans="1:8" x14ac:dyDescent="0.2">
      <c r="A42" s="63"/>
      <c r="H42" s="64"/>
    </row>
    <row r="43" spans="1:8" x14ac:dyDescent="0.2">
      <c r="A43" s="63"/>
      <c r="C43" t="s">
        <v>10</v>
      </c>
      <c r="H43" s="64"/>
    </row>
    <row r="44" spans="1:8" x14ac:dyDescent="0.2">
      <c r="A44" s="63"/>
      <c r="C44" t="s">
        <v>11</v>
      </c>
      <c r="H44" s="64"/>
    </row>
    <row r="45" spans="1:8" x14ac:dyDescent="0.2">
      <c r="A45" s="63"/>
      <c r="C45" t="s">
        <v>12</v>
      </c>
      <c r="H45" s="64"/>
    </row>
    <row r="46" spans="1:8" x14ac:dyDescent="0.2">
      <c r="A46" s="63"/>
      <c r="H46" s="64"/>
    </row>
    <row r="47" spans="1:8" ht="13.5" thickBot="1" x14ac:dyDescent="0.25">
      <c r="A47" s="71"/>
      <c r="B47" s="72"/>
      <c r="C47" s="72" t="s">
        <v>13</v>
      </c>
      <c r="D47" s="72"/>
      <c r="E47" s="72"/>
      <c r="F47" s="72"/>
      <c r="G47" s="72"/>
      <c r="H47" s="73"/>
    </row>
    <row r="48" spans="1:8" x14ac:dyDescent="0.2">
      <c r="A48" s="63"/>
      <c r="H48" s="64"/>
    </row>
    <row r="49" spans="1:8" x14ac:dyDescent="0.2">
      <c r="A49" s="63"/>
      <c r="B49" s="68">
        <v>2</v>
      </c>
      <c r="C49" s="68" t="s">
        <v>41</v>
      </c>
      <c r="H49" s="64"/>
    </row>
    <row r="50" spans="1:8" x14ac:dyDescent="0.2">
      <c r="A50" s="63"/>
      <c r="H50" s="64"/>
    </row>
    <row r="51" spans="1:8" x14ac:dyDescent="0.2">
      <c r="A51" s="63"/>
      <c r="C51" t="s">
        <v>14</v>
      </c>
      <c r="H51" s="64"/>
    </row>
    <row r="52" spans="1:8" x14ac:dyDescent="0.2">
      <c r="A52" s="63"/>
      <c r="C52" t="s">
        <v>15</v>
      </c>
      <c r="H52" s="64"/>
    </row>
    <row r="53" spans="1:8" x14ac:dyDescent="0.2">
      <c r="A53" s="63"/>
      <c r="C53" t="s">
        <v>16</v>
      </c>
      <c r="H53" s="64"/>
    </row>
    <row r="54" spans="1:8" x14ac:dyDescent="0.2">
      <c r="A54" s="74"/>
      <c r="B54" s="75"/>
      <c r="C54" s="75" t="s">
        <v>17</v>
      </c>
      <c r="D54" s="75"/>
      <c r="E54" s="75"/>
      <c r="F54" s="75"/>
      <c r="G54" s="75"/>
      <c r="H54" s="76"/>
    </row>
    <row r="55" spans="1:8" x14ac:dyDescent="0.2">
      <c r="A55" s="63"/>
      <c r="H55" s="64"/>
    </row>
    <row r="56" spans="1:8" x14ac:dyDescent="0.2">
      <c r="A56" s="63"/>
      <c r="B56" s="68">
        <v>3</v>
      </c>
      <c r="C56" s="68" t="s">
        <v>95</v>
      </c>
      <c r="H56" s="64"/>
    </row>
    <row r="57" spans="1:8" x14ac:dyDescent="0.2">
      <c r="A57" s="63"/>
      <c r="H57" s="64"/>
    </row>
    <row r="58" spans="1:8" x14ac:dyDescent="0.2">
      <c r="A58" s="63"/>
      <c r="C58" t="s">
        <v>119</v>
      </c>
      <c r="H58" s="64"/>
    </row>
    <row r="59" spans="1:8" x14ac:dyDescent="0.2">
      <c r="A59" s="74"/>
      <c r="B59" s="75"/>
      <c r="C59" s="75"/>
      <c r="D59" s="75"/>
      <c r="E59" s="75"/>
      <c r="F59" s="75"/>
      <c r="G59" s="75"/>
      <c r="H59" s="76"/>
    </row>
    <row r="60" spans="1:8" x14ac:dyDescent="0.2">
      <c r="A60" s="63"/>
      <c r="B60" s="68">
        <v>4</v>
      </c>
      <c r="C60" s="68" t="s">
        <v>96</v>
      </c>
      <c r="H60" s="64"/>
    </row>
    <row r="61" spans="1:8" x14ac:dyDescent="0.2">
      <c r="A61" s="63"/>
      <c r="H61" s="64"/>
    </row>
    <row r="62" spans="1:8" x14ac:dyDescent="0.2">
      <c r="A62" s="63"/>
      <c r="C62" t="s">
        <v>118</v>
      </c>
      <c r="H62" s="64"/>
    </row>
    <row r="63" spans="1:8" x14ac:dyDescent="0.2">
      <c r="A63" s="74"/>
      <c r="B63" s="75"/>
      <c r="C63" s="75"/>
      <c r="D63" s="75"/>
      <c r="E63" s="75"/>
      <c r="F63" s="75"/>
      <c r="G63" s="75"/>
      <c r="H63" s="76"/>
    </row>
    <row r="64" spans="1:8" x14ac:dyDescent="0.2">
      <c r="A64" s="63"/>
      <c r="H64" s="64"/>
    </row>
    <row r="65" spans="1:8" x14ac:dyDescent="0.2">
      <c r="A65" s="63"/>
      <c r="B65" s="68">
        <v>5</v>
      </c>
      <c r="C65" s="68" t="s">
        <v>18</v>
      </c>
      <c r="H65" s="64"/>
    </row>
    <row r="66" spans="1:8" x14ac:dyDescent="0.2">
      <c r="A66" s="63"/>
      <c r="H66" s="64"/>
    </row>
    <row r="67" spans="1:8" x14ac:dyDescent="0.2">
      <c r="A67" s="63"/>
      <c r="C67" t="s">
        <v>19</v>
      </c>
      <c r="H67" s="64"/>
    </row>
    <row r="68" spans="1:8" x14ac:dyDescent="0.2">
      <c r="A68" s="63"/>
      <c r="C68" t="s">
        <v>20</v>
      </c>
      <c r="H68" s="64"/>
    </row>
    <row r="69" spans="1:8" x14ac:dyDescent="0.2">
      <c r="A69" s="63"/>
      <c r="C69" t="s">
        <v>109</v>
      </c>
      <c r="H69" s="64"/>
    </row>
    <row r="70" spans="1:8" x14ac:dyDescent="0.2">
      <c r="A70" s="63"/>
      <c r="C70" t="s">
        <v>111</v>
      </c>
      <c r="H70" s="64"/>
    </row>
    <row r="71" spans="1:8" x14ac:dyDescent="0.2">
      <c r="A71" s="63"/>
      <c r="C71" t="s">
        <v>21</v>
      </c>
      <c r="H71" s="64"/>
    </row>
    <row r="72" spans="1:8" x14ac:dyDescent="0.2">
      <c r="A72" s="63"/>
      <c r="C72" t="s">
        <v>22</v>
      </c>
      <c r="H72" s="64"/>
    </row>
    <row r="73" spans="1:8" x14ac:dyDescent="0.2">
      <c r="A73" s="63"/>
      <c r="C73" t="s">
        <v>23</v>
      </c>
      <c r="H73" s="64"/>
    </row>
    <row r="74" spans="1:8" x14ac:dyDescent="0.2">
      <c r="A74" s="63"/>
      <c r="C74" t="s">
        <v>110</v>
      </c>
      <c r="H74" s="64"/>
    </row>
    <row r="75" spans="1:8" x14ac:dyDescent="0.2">
      <c r="A75" s="63"/>
      <c r="C75" t="s">
        <v>24</v>
      </c>
      <c r="H75" s="64"/>
    </row>
    <row r="76" spans="1:8" x14ac:dyDescent="0.2">
      <c r="A76" s="63"/>
      <c r="C76" t="s">
        <v>25</v>
      </c>
      <c r="H76" s="64"/>
    </row>
    <row r="77" spans="1:8" x14ac:dyDescent="0.2">
      <c r="A77" s="63"/>
      <c r="C77" t="s">
        <v>26</v>
      </c>
      <c r="H77" s="64"/>
    </row>
    <row r="78" spans="1:8" x14ac:dyDescent="0.2">
      <c r="A78" s="63"/>
      <c r="H78" s="64"/>
    </row>
    <row r="79" spans="1:8" x14ac:dyDescent="0.2">
      <c r="A79" s="63"/>
      <c r="C79" t="s">
        <v>27</v>
      </c>
      <c r="H79" s="64"/>
    </row>
    <row r="80" spans="1:8" x14ac:dyDescent="0.2">
      <c r="A80" s="63"/>
      <c r="H80" s="64"/>
    </row>
    <row r="81" spans="1:8" x14ac:dyDescent="0.2">
      <c r="A81" s="63"/>
      <c r="C81" t="s">
        <v>28</v>
      </c>
      <c r="H81" s="64"/>
    </row>
    <row r="82" spans="1:8" x14ac:dyDescent="0.2">
      <c r="A82" s="63"/>
      <c r="C82" t="s">
        <v>29</v>
      </c>
      <c r="H82" s="64"/>
    </row>
    <row r="83" spans="1:8" x14ac:dyDescent="0.2">
      <c r="A83" s="74"/>
      <c r="B83" s="75"/>
      <c r="C83" s="75"/>
      <c r="D83" s="75"/>
      <c r="E83" s="75"/>
      <c r="F83" s="75"/>
      <c r="G83" s="75"/>
      <c r="H83" s="76"/>
    </row>
    <row r="84" spans="1:8" x14ac:dyDescent="0.2">
      <c r="A84" s="63"/>
      <c r="B84" s="68">
        <v>6</v>
      </c>
      <c r="C84" s="68" t="s">
        <v>120</v>
      </c>
      <c r="H84" s="64"/>
    </row>
    <row r="85" spans="1:8" x14ac:dyDescent="0.2">
      <c r="A85" s="63"/>
      <c r="H85" s="64"/>
    </row>
    <row r="86" spans="1:8" x14ac:dyDescent="0.2">
      <c r="A86" s="63"/>
      <c r="C86" t="s">
        <v>121</v>
      </c>
      <c r="H86" s="64"/>
    </row>
    <row r="87" spans="1:8" x14ac:dyDescent="0.2">
      <c r="A87" s="74"/>
      <c r="B87" s="75"/>
      <c r="C87" s="75"/>
      <c r="D87" s="75"/>
      <c r="E87" s="75"/>
      <c r="F87" s="75"/>
      <c r="G87" s="75"/>
      <c r="H87" s="76"/>
    </row>
    <row r="88" spans="1:8" x14ac:dyDescent="0.2">
      <c r="A88" s="63"/>
      <c r="B88" s="68">
        <v>7</v>
      </c>
      <c r="C88" s="68" t="s">
        <v>133</v>
      </c>
      <c r="H88" s="64"/>
    </row>
    <row r="89" spans="1:8" x14ac:dyDescent="0.2">
      <c r="A89" s="63"/>
      <c r="H89" s="64"/>
    </row>
    <row r="90" spans="1:8" x14ac:dyDescent="0.2">
      <c r="A90" s="63"/>
      <c r="C90" s="210" t="s">
        <v>177</v>
      </c>
      <c r="H90" s="64"/>
    </row>
    <row r="91" spans="1:8" x14ac:dyDescent="0.2">
      <c r="A91" s="74"/>
      <c r="B91" s="75"/>
      <c r="C91" s="75"/>
      <c r="D91" s="75"/>
      <c r="E91" s="75"/>
      <c r="F91" s="75"/>
      <c r="G91" s="75"/>
      <c r="H91" s="76"/>
    </row>
    <row r="92" spans="1:8" x14ac:dyDescent="0.2">
      <c r="A92" s="63"/>
      <c r="B92" s="68">
        <v>8</v>
      </c>
      <c r="C92" s="68" t="s">
        <v>134</v>
      </c>
      <c r="H92" s="64"/>
    </row>
    <row r="93" spans="1:8" x14ac:dyDescent="0.2">
      <c r="A93" s="63"/>
      <c r="H93" s="64"/>
    </row>
    <row r="94" spans="1:8" x14ac:dyDescent="0.2">
      <c r="A94" s="63"/>
      <c r="C94" s="210" t="s">
        <v>176</v>
      </c>
      <c r="H94" s="64"/>
    </row>
    <row r="95" spans="1:8" x14ac:dyDescent="0.2">
      <c r="A95" s="74"/>
      <c r="B95" s="75"/>
      <c r="C95" s="75"/>
      <c r="D95" s="75"/>
      <c r="E95" s="75"/>
      <c r="F95" s="75"/>
      <c r="G95" s="75"/>
      <c r="H95" s="76"/>
    </row>
    <row r="96" spans="1:8" x14ac:dyDescent="0.2">
      <c r="A96" s="63"/>
      <c r="B96" s="68">
        <v>9</v>
      </c>
      <c r="C96" s="68" t="s">
        <v>127</v>
      </c>
      <c r="H96" s="64"/>
    </row>
    <row r="97" spans="1:8" x14ac:dyDescent="0.2">
      <c r="A97" s="63"/>
      <c r="H97" s="64"/>
    </row>
    <row r="98" spans="1:8" x14ac:dyDescent="0.2">
      <c r="A98" s="63"/>
      <c r="C98" t="s">
        <v>128</v>
      </c>
      <c r="H98" s="64"/>
    </row>
    <row r="99" spans="1:8" x14ac:dyDescent="0.2">
      <c r="A99" s="63"/>
      <c r="C99" t="s">
        <v>129</v>
      </c>
      <c r="H99" s="64"/>
    </row>
    <row r="100" spans="1:8" x14ac:dyDescent="0.2">
      <c r="A100" s="63"/>
      <c r="C100" s="161" t="s">
        <v>130</v>
      </c>
      <c r="H100" s="64"/>
    </row>
    <row r="101" spans="1:8" x14ac:dyDescent="0.2">
      <c r="A101" s="63"/>
      <c r="C101" s="161" t="s">
        <v>131</v>
      </c>
      <c r="H101" s="64"/>
    </row>
    <row r="102" spans="1:8" x14ac:dyDescent="0.2">
      <c r="A102" s="63"/>
      <c r="C102" s="161" t="s">
        <v>132</v>
      </c>
      <c r="H102" s="64"/>
    </row>
    <row r="103" spans="1:8" hidden="1" x14ac:dyDescent="0.2">
      <c r="A103" s="63"/>
      <c r="C103" s="161"/>
      <c r="H103" s="64"/>
    </row>
    <row r="104" spans="1:8" ht="13.5" thickBot="1" x14ac:dyDescent="0.25">
      <c r="A104" s="71"/>
      <c r="B104" s="72"/>
      <c r="C104" s="72"/>
      <c r="D104" s="72"/>
      <c r="E104" s="72"/>
      <c r="F104" s="72"/>
      <c r="G104" s="72"/>
      <c r="H104" s="73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rowBreaks count="1" manualBreakCount="1">
    <brk id="54" max="7" man="1"/>
  </rowBreaks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109"/>
  <sheetViews>
    <sheetView workbookViewId="0"/>
  </sheetViews>
  <sheetFormatPr defaultRowHeight="12.75" outlineLevelRow="2" x14ac:dyDescent="0.2"/>
  <cols>
    <col min="1" max="1" width="5.28515625" style="2" customWidth="1"/>
    <col min="2" max="2" width="10.28515625" style="139" customWidth="1"/>
    <col min="3" max="3" width="10.28515625" style="2" customWidth="1"/>
    <col min="4" max="4" width="32" style="2" customWidth="1"/>
    <col min="5" max="10" width="10.28515625" style="2" customWidth="1"/>
    <col min="11" max="22" width="11.28515625" style="2" customWidth="1"/>
    <col min="23" max="23" width="9.7109375" style="2" customWidth="1"/>
    <col min="24" max="24" width="1.7109375" style="2" customWidth="1"/>
    <col min="25" max="47" width="9.140625" style="2"/>
  </cols>
  <sheetData>
    <row r="1" spans="1:53" ht="15.75" x14ac:dyDescent="0.25">
      <c r="A1" s="3"/>
      <c r="B1" s="137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3"/>
      <c r="O1" s="4"/>
      <c r="P1" s="4"/>
      <c r="Q1" s="26"/>
      <c r="R1" s="26"/>
      <c r="S1" s="26" t="s">
        <v>30</v>
      </c>
      <c r="T1" s="26"/>
      <c r="U1" s="26"/>
      <c r="V1" s="26" t="s">
        <v>136</v>
      </c>
      <c r="W1" s="26"/>
      <c r="X1" s="5"/>
    </row>
    <row r="2" spans="1:53" ht="30" x14ac:dyDescent="0.4">
      <c r="A2" s="41" t="s">
        <v>245</v>
      </c>
      <c r="B2" s="138"/>
      <c r="C2" s="42"/>
      <c r="D2" s="42"/>
      <c r="N2" s="24"/>
      <c r="O2"/>
      <c r="P2" s="7"/>
      <c r="Q2" s="340"/>
      <c r="R2" s="340"/>
      <c r="S2" s="176" t="s">
        <v>31</v>
      </c>
      <c r="T2" s="340"/>
      <c r="U2" s="340"/>
      <c r="V2" s="177"/>
      <c r="W2" s="340"/>
      <c r="X2" s="8"/>
    </row>
    <row r="3" spans="1:53" ht="14.25" x14ac:dyDescent="0.2">
      <c r="A3" s="9"/>
      <c r="N3" s="25"/>
      <c r="Q3" s="24"/>
      <c r="R3" s="24"/>
      <c r="S3" s="24" t="s">
        <v>137</v>
      </c>
      <c r="T3" s="24"/>
      <c r="U3" s="24"/>
      <c r="V3" s="84" t="s">
        <v>33</v>
      </c>
      <c r="W3" s="24"/>
      <c r="X3" s="10"/>
    </row>
    <row r="4" spans="1:53" ht="21" thickBot="1" x14ac:dyDescent="0.35">
      <c r="A4" s="19" t="s">
        <v>138</v>
      </c>
      <c r="B4" s="140"/>
      <c r="C4" s="20"/>
      <c r="D4" s="20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178" t="s">
        <v>32</v>
      </c>
      <c r="T4" s="21"/>
      <c r="U4" s="341"/>
      <c r="V4" s="179"/>
      <c r="W4" s="21"/>
      <c r="X4" s="22"/>
    </row>
    <row r="5" spans="1:53" ht="8.25" customHeight="1" x14ac:dyDescent="0.2">
      <c r="A5" s="9"/>
      <c r="X5" s="10"/>
    </row>
    <row r="6" spans="1:53" x14ac:dyDescent="0.2">
      <c r="A6" s="110" t="s">
        <v>94</v>
      </c>
      <c r="E6" s="11" t="s">
        <v>33</v>
      </c>
      <c r="F6" s="11"/>
      <c r="K6" s="11"/>
      <c r="L6" s="11"/>
      <c r="M6" s="11"/>
      <c r="N6" s="11"/>
      <c r="P6" s="11" t="s">
        <v>86</v>
      </c>
      <c r="Q6" s="11"/>
      <c r="R6" s="11" t="s">
        <v>33</v>
      </c>
      <c r="S6" s="11"/>
      <c r="X6" s="10"/>
      <c r="Y6" s="2" t="s">
        <v>33</v>
      </c>
    </row>
    <row r="7" spans="1:53" x14ac:dyDescent="0.2">
      <c r="A7" s="110" t="s">
        <v>139</v>
      </c>
      <c r="E7" s="11"/>
      <c r="K7" s="11"/>
      <c r="M7" s="11"/>
      <c r="N7" s="11"/>
      <c r="P7" s="11" t="s">
        <v>87</v>
      </c>
      <c r="R7" s="11" t="s">
        <v>33</v>
      </c>
      <c r="S7" s="11"/>
      <c r="X7" s="10"/>
    </row>
    <row r="8" spans="1:53" ht="18.75" customHeight="1" x14ac:dyDescent="0.2">
      <c r="A8" s="180" t="s">
        <v>140</v>
      </c>
      <c r="E8" s="34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X8" s="10"/>
    </row>
    <row r="9" spans="1:53" x14ac:dyDescent="0.2">
      <c r="A9" s="13" t="s">
        <v>34</v>
      </c>
      <c r="B9" s="142"/>
      <c r="C9" s="14"/>
      <c r="D9" s="343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45" t="s">
        <v>35</v>
      </c>
      <c r="X9" s="15"/>
      <c r="Y9"/>
      <c r="Z9"/>
      <c r="AA9"/>
      <c r="AB9"/>
      <c r="AC9"/>
      <c r="AD9"/>
      <c r="AE9"/>
      <c r="AF9"/>
      <c r="AG9"/>
    </row>
    <row r="10" spans="1:53" x14ac:dyDescent="0.2">
      <c r="A10" s="9" t="s">
        <v>141</v>
      </c>
      <c r="D10" s="346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348">
        <f t="shared" ref="W10:W19" si="0">SUM(E10:V10)</f>
        <v>0</v>
      </c>
      <c r="X10" s="10"/>
      <c r="Y10"/>
      <c r="Z10"/>
      <c r="AA10"/>
      <c r="AB10"/>
      <c r="AC10"/>
      <c r="AD10"/>
      <c r="AE10"/>
      <c r="AF10"/>
      <c r="AG10"/>
    </row>
    <row r="11" spans="1:53" x14ac:dyDescent="0.2">
      <c r="A11" s="34" t="s">
        <v>246</v>
      </c>
      <c r="B11" s="141"/>
      <c r="C11" s="31"/>
      <c r="D11" s="349"/>
      <c r="E11" s="350"/>
      <c r="F11" s="350"/>
      <c r="G11" s="350"/>
      <c r="H11" s="350"/>
      <c r="I11" s="350"/>
      <c r="J11" s="350"/>
      <c r="K11" s="350"/>
      <c r="L11" s="350"/>
      <c r="M11" s="350"/>
      <c r="N11" s="350"/>
      <c r="O11" s="350"/>
      <c r="P11" s="350"/>
      <c r="Q11" s="350"/>
      <c r="R11" s="350"/>
      <c r="S11" s="350"/>
      <c r="T11" s="350"/>
      <c r="U11" s="350"/>
      <c r="V11" s="350"/>
      <c r="W11" s="351">
        <f t="shared" si="0"/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">
      <c r="A12" s="34" t="s">
        <v>247</v>
      </c>
      <c r="B12" s="141"/>
      <c r="C12" s="31"/>
      <c r="D12" s="349"/>
      <c r="E12" s="350"/>
      <c r="F12" s="350"/>
      <c r="G12" s="350"/>
      <c r="H12" s="350"/>
      <c r="I12" s="350"/>
      <c r="J12" s="350"/>
      <c r="K12" s="350"/>
      <c r="L12" s="350"/>
      <c r="M12" s="350"/>
      <c r="N12" s="350"/>
      <c r="O12" s="350"/>
      <c r="P12" s="350"/>
      <c r="Q12" s="350"/>
      <c r="R12" s="350"/>
      <c r="S12" s="350"/>
      <c r="T12" s="350"/>
      <c r="U12" s="350"/>
      <c r="V12" s="350"/>
      <c r="W12" s="351">
        <f t="shared" si="0"/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">
      <c r="A13" s="34" t="s">
        <v>142</v>
      </c>
      <c r="B13" s="141"/>
      <c r="C13" s="31"/>
      <c r="D13" s="349"/>
      <c r="E13" s="350">
        <v>0</v>
      </c>
      <c r="F13" s="350"/>
      <c r="G13" s="350"/>
      <c r="H13" s="350"/>
      <c r="I13" s="350"/>
      <c r="J13" s="350"/>
      <c r="K13" s="350"/>
      <c r="L13" s="350"/>
      <c r="M13" s="350"/>
      <c r="N13" s="350"/>
      <c r="O13" s="350"/>
      <c r="P13" s="350"/>
      <c r="Q13" s="350">
        <v>0</v>
      </c>
      <c r="R13" s="350"/>
      <c r="S13" s="350"/>
      <c r="T13" s="350"/>
      <c r="U13" s="350"/>
      <c r="V13" s="350"/>
      <c r="W13" s="351">
        <f t="shared" si="0"/>
        <v>0</v>
      </c>
      <c r="X13" s="3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">
      <c r="A14" s="353" t="s">
        <v>143</v>
      </c>
      <c r="B14" s="354"/>
      <c r="C14" s="355"/>
      <c r="D14" s="349"/>
      <c r="E14" s="356">
        <v>0</v>
      </c>
      <c r="F14" s="356"/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>
        <v>0</v>
      </c>
      <c r="R14" s="356"/>
      <c r="S14" s="356"/>
      <c r="T14" s="356"/>
      <c r="U14" s="356"/>
      <c r="V14" s="356"/>
      <c r="W14" s="357">
        <f t="shared" si="0"/>
        <v>0</v>
      </c>
      <c r="X14" s="358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">
      <c r="A15" s="359" t="s">
        <v>144</v>
      </c>
      <c r="B15" s="360"/>
      <c r="C15" s="361"/>
      <c r="D15" s="349"/>
      <c r="E15" s="356">
        <v>0</v>
      </c>
      <c r="F15" s="356"/>
      <c r="G15" s="356"/>
      <c r="H15" s="356"/>
      <c r="I15" s="356"/>
      <c r="J15" s="356"/>
      <c r="K15" s="356"/>
      <c r="L15" s="356"/>
      <c r="M15" s="356"/>
      <c r="N15" s="356"/>
      <c r="O15" s="356"/>
      <c r="P15" s="356"/>
      <c r="Q15" s="356"/>
      <c r="R15" s="356"/>
      <c r="S15" s="356"/>
      <c r="T15" s="356"/>
      <c r="U15" s="356"/>
      <c r="V15" s="356"/>
      <c r="W15" s="357">
        <f t="shared" si="0"/>
        <v>0</v>
      </c>
      <c r="X15" s="358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">
      <c r="A16" s="184" t="s">
        <v>145</v>
      </c>
      <c r="B16" s="182"/>
      <c r="C16" s="183"/>
      <c r="D16" s="362"/>
      <c r="E16" s="363">
        <v>0</v>
      </c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3"/>
      <c r="Q16" s="363">
        <v>0</v>
      </c>
      <c r="R16" s="363"/>
      <c r="S16" s="363"/>
      <c r="T16" s="363"/>
      <c r="U16" s="363"/>
      <c r="V16" s="363"/>
      <c r="W16" s="30">
        <f t="shared" si="0"/>
        <v>0</v>
      </c>
      <c r="X16" s="36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">
      <c r="A17" s="13" t="s">
        <v>146</v>
      </c>
      <c r="B17" s="142"/>
      <c r="C17" s="14"/>
      <c r="D17" s="14"/>
      <c r="E17" s="119">
        <f t="shared" ref="E17:V17" si="1">$E$7*E10</f>
        <v>0</v>
      </c>
      <c r="F17" s="119">
        <f t="shared" si="1"/>
        <v>0</v>
      </c>
      <c r="G17" s="119">
        <f t="shared" si="1"/>
        <v>0</v>
      </c>
      <c r="H17" s="119">
        <f t="shared" si="1"/>
        <v>0</v>
      </c>
      <c r="I17" s="119">
        <f t="shared" si="1"/>
        <v>0</v>
      </c>
      <c r="J17" s="119">
        <f t="shared" si="1"/>
        <v>0</v>
      </c>
      <c r="K17" s="119">
        <f t="shared" si="1"/>
        <v>0</v>
      </c>
      <c r="L17" s="119">
        <f t="shared" si="1"/>
        <v>0</v>
      </c>
      <c r="M17" s="119">
        <f t="shared" si="1"/>
        <v>0</v>
      </c>
      <c r="N17" s="119">
        <f t="shared" si="1"/>
        <v>0</v>
      </c>
      <c r="O17" s="119">
        <f t="shared" si="1"/>
        <v>0</v>
      </c>
      <c r="P17" s="119">
        <f t="shared" si="1"/>
        <v>0</v>
      </c>
      <c r="Q17" s="119">
        <f t="shared" si="1"/>
        <v>0</v>
      </c>
      <c r="R17" s="119">
        <f t="shared" si="1"/>
        <v>0</v>
      </c>
      <c r="S17" s="119">
        <f t="shared" si="1"/>
        <v>0</v>
      </c>
      <c r="T17" s="119">
        <f t="shared" si="1"/>
        <v>0</v>
      </c>
      <c r="U17" s="119">
        <f t="shared" si="1"/>
        <v>0</v>
      </c>
      <c r="V17" s="119">
        <f t="shared" si="1"/>
        <v>0</v>
      </c>
      <c r="W17" s="30">
        <f t="shared" si="0"/>
        <v>0</v>
      </c>
      <c r="X17" s="18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1" customFormat="1" x14ac:dyDescent="0.2">
      <c r="A18" s="13" t="s">
        <v>248</v>
      </c>
      <c r="B18" s="142"/>
      <c r="C18" s="14"/>
      <c r="D18" s="14"/>
      <c r="E18" s="119">
        <f>(E$11+E$12+E$13+E$14+E$15+E$16)*E10</f>
        <v>0</v>
      </c>
      <c r="F18" s="119">
        <f t="shared" ref="F18:V18" si="2">(F$11+F$12+F$13+F$14+F$15+F$16)*F10</f>
        <v>0</v>
      </c>
      <c r="G18" s="119">
        <f t="shared" si="2"/>
        <v>0</v>
      </c>
      <c r="H18" s="119">
        <f t="shared" si="2"/>
        <v>0</v>
      </c>
      <c r="I18" s="119">
        <f t="shared" si="2"/>
        <v>0</v>
      </c>
      <c r="J18" s="119">
        <f t="shared" si="2"/>
        <v>0</v>
      </c>
      <c r="K18" s="119">
        <f t="shared" si="2"/>
        <v>0</v>
      </c>
      <c r="L18" s="119">
        <f t="shared" si="2"/>
        <v>0</v>
      </c>
      <c r="M18" s="119">
        <f t="shared" si="2"/>
        <v>0</v>
      </c>
      <c r="N18" s="119">
        <f t="shared" si="2"/>
        <v>0</v>
      </c>
      <c r="O18" s="119">
        <f t="shared" si="2"/>
        <v>0</v>
      </c>
      <c r="P18" s="119">
        <f t="shared" si="2"/>
        <v>0</v>
      </c>
      <c r="Q18" s="119">
        <f t="shared" si="2"/>
        <v>0</v>
      </c>
      <c r="R18" s="119">
        <f t="shared" si="2"/>
        <v>0</v>
      </c>
      <c r="S18" s="119">
        <f t="shared" si="2"/>
        <v>0</v>
      </c>
      <c r="T18" s="119">
        <f t="shared" si="2"/>
        <v>0</v>
      </c>
      <c r="U18" s="119">
        <f t="shared" si="2"/>
        <v>0</v>
      </c>
      <c r="V18" s="119">
        <f t="shared" si="2"/>
        <v>0</v>
      </c>
      <c r="W18" s="30">
        <f t="shared" si="0"/>
        <v>0</v>
      </c>
      <c r="X18" s="181"/>
      <c r="Y18"/>
      <c r="Z18"/>
      <c r="AA18"/>
      <c r="AB18"/>
      <c r="AC18"/>
      <c r="AD18"/>
      <c r="AE18"/>
      <c r="AF18"/>
      <c r="AG18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</row>
    <row r="19" spans="1:53" s="1" customFormat="1" x14ac:dyDescent="0.2">
      <c r="A19" s="13" t="s">
        <v>147</v>
      </c>
      <c r="B19" s="142"/>
      <c r="C19" s="14"/>
      <c r="D19" s="14"/>
      <c r="E19" s="119">
        <f>E17+E18</f>
        <v>0</v>
      </c>
      <c r="F19" s="119">
        <f t="shared" ref="F19:V19" si="3">F17+F18</f>
        <v>0</v>
      </c>
      <c r="G19" s="119">
        <f t="shared" si="3"/>
        <v>0</v>
      </c>
      <c r="H19" s="119">
        <f t="shared" si="3"/>
        <v>0</v>
      </c>
      <c r="I19" s="119">
        <f t="shared" si="3"/>
        <v>0</v>
      </c>
      <c r="J19" s="119">
        <f t="shared" si="3"/>
        <v>0</v>
      </c>
      <c r="K19" s="119">
        <f t="shared" si="3"/>
        <v>0</v>
      </c>
      <c r="L19" s="119">
        <f t="shared" si="3"/>
        <v>0</v>
      </c>
      <c r="M19" s="119">
        <f t="shared" si="3"/>
        <v>0</v>
      </c>
      <c r="N19" s="119">
        <f t="shared" si="3"/>
        <v>0</v>
      </c>
      <c r="O19" s="119">
        <f t="shared" si="3"/>
        <v>0</v>
      </c>
      <c r="P19" s="119">
        <f t="shared" si="3"/>
        <v>0</v>
      </c>
      <c r="Q19" s="185">
        <f t="shared" si="3"/>
        <v>0</v>
      </c>
      <c r="R19" s="119">
        <f t="shared" si="3"/>
        <v>0</v>
      </c>
      <c r="S19" s="119">
        <f t="shared" si="3"/>
        <v>0</v>
      </c>
      <c r="T19" s="119">
        <f t="shared" si="3"/>
        <v>0</v>
      </c>
      <c r="U19" s="119">
        <f t="shared" si="3"/>
        <v>0</v>
      </c>
      <c r="V19" s="119">
        <f t="shared" si="3"/>
        <v>0</v>
      </c>
      <c r="W19" s="119">
        <f t="shared" si="0"/>
        <v>0</v>
      </c>
      <c r="X19" s="18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">
      <c r="A20" s="13" t="s">
        <v>148</v>
      </c>
      <c r="B20" s="142"/>
      <c r="C20" s="14"/>
      <c r="D20" s="14"/>
      <c r="E20" s="365"/>
      <c r="F20" s="365"/>
      <c r="G20" s="365"/>
      <c r="H20" s="365"/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5"/>
      <c r="V20" s="365"/>
      <c r="W20" s="186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">
      <c r="A21" s="110" t="s">
        <v>36</v>
      </c>
      <c r="X21" s="10"/>
      <c r="Y21"/>
      <c r="Z21"/>
      <c r="AA21"/>
      <c r="AB21"/>
      <c r="AC21"/>
      <c r="AD21"/>
      <c r="AE21"/>
      <c r="AF21"/>
      <c r="AG21"/>
    </row>
    <row r="22" spans="1:53" x14ac:dyDescent="0.2">
      <c r="A22" s="366" t="s">
        <v>249</v>
      </c>
      <c r="B22" s="367" t="s">
        <v>37</v>
      </c>
      <c r="C22" s="368" t="s">
        <v>135</v>
      </c>
      <c r="D22" s="368" t="s">
        <v>38</v>
      </c>
      <c r="E22" s="369">
        <f t="shared" ref="E22:W22" si="4">E9</f>
        <v>0</v>
      </c>
      <c r="F22" s="369">
        <f t="shared" si="4"/>
        <v>0</v>
      </c>
      <c r="G22" s="369">
        <f t="shared" si="4"/>
        <v>0</v>
      </c>
      <c r="H22" s="369">
        <f t="shared" si="4"/>
        <v>0</v>
      </c>
      <c r="I22" s="369">
        <f t="shared" si="4"/>
        <v>0</v>
      </c>
      <c r="J22" s="369">
        <f t="shared" si="4"/>
        <v>0</v>
      </c>
      <c r="K22" s="369">
        <f t="shared" si="4"/>
        <v>0</v>
      </c>
      <c r="L22" s="369">
        <f t="shared" si="4"/>
        <v>0</v>
      </c>
      <c r="M22" s="369">
        <f t="shared" si="4"/>
        <v>0</v>
      </c>
      <c r="N22" s="369">
        <f t="shared" si="4"/>
        <v>0</v>
      </c>
      <c r="O22" s="369">
        <f t="shared" si="4"/>
        <v>0</v>
      </c>
      <c r="P22" s="369">
        <f t="shared" si="4"/>
        <v>0</v>
      </c>
      <c r="Q22" s="369">
        <f t="shared" si="4"/>
        <v>0</v>
      </c>
      <c r="R22" s="369">
        <f t="shared" si="4"/>
        <v>0</v>
      </c>
      <c r="S22" s="369">
        <f t="shared" si="4"/>
        <v>0</v>
      </c>
      <c r="T22" s="369">
        <f t="shared" si="4"/>
        <v>0</v>
      </c>
      <c r="U22" s="369">
        <f t="shared" si="4"/>
        <v>0</v>
      </c>
      <c r="V22" s="369">
        <f t="shared" si="4"/>
        <v>0</v>
      </c>
      <c r="W22" s="370" t="str">
        <f t="shared" si="4"/>
        <v>Total</v>
      </c>
      <c r="X22" s="126"/>
    </row>
    <row r="23" spans="1:53" x14ac:dyDescent="0.2">
      <c r="A23" s="371" t="s">
        <v>243</v>
      </c>
      <c r="B23" s="372" t="s">
        <v>183</v>
      </c>
      <c r="C23" s="372" t="s">
        <v>184</v>
      </c>
      <c r="D23" s="372" t="s">
        <v>185</v>
      </c>
      <c r="E23" s="373" t="s">
        <v>190</v>
      </c>
      <c r="F23" s="373" t="s">
        <v>191</v>
      </c>
      <c r="G23" s="373" t="s">
        <v>192</v>
      </c>
      <c r="H23" s="373" t="s">
        <v>193</v>
      </c>
      <c r="I23" s="373" t="s">
        <v>194</v>
      </c>
      <c r="J23" s="373" t="s">
        <v>195</v>
      </c>
      <c r="K23" s="373" t="s">
        <v>196</v>
      </c>
      <c r="L23" s="373" t="s">
        <v>197</v>
      </c>
      <c r="M23" s="373" t="s">
        <v>198</v>
      </c>
      <c r="N23" s="373" t="s">
        <v>199</v>
      </c>
      <c r="O23" s="373" t="s">
        <v>200</v>
      </c>
      <c r="P23" s="373" t="s">
        <v>201</v>
      </c>
      <c r="Q23" s="373" t="s">
        <v>234</v>
      </c>
      <c r="R23" s="373" t="s">
        <v>235</v>
      </c>
      <c r="S23" s="373" t="s">
        <v>236</v>
      </c>
      <c r="T23" s="373" t="s">
        <v>237</v>
      </c>
      <c r="U23" s="373" t="s">
        <v>238</v>
      </c>
      <c r="V23" s="373" t="s">
        <v>239</v>
      </c>
      <c r="W23" s="197">
        <f t="shared" ref="W23:W27" si="5">SUM(E23:V23)</f>
        <v>0</v>
      </c>
      <c r="X23" s="374" t="s">
        <v>244</v>
      </c>
    </row>
    <row r="24" spans="1:53" outlineLevel="2" x14ac:dyDescent="0.2">
      <c r="A24" s="375" t="s">
        <v>250</v>
      </c>
      <c r="B24" s="372"/>
      <c r="C24" s="372"/>
      <c r="D24" s="372"/>
      <c r="E24" s="376" t="s">
        <v>189</v>
      </c>
      <c r="F24" s="376" t="s">
        <v>189</v>
      </c>
      <c r="G24" s="376" t="s">
        <v>189</v>
      </c>
      <c r="H24" s="376" t="s">
        <v>189</v>
      </c>
      <c r="I24" s="376" t="s">
        <v>189</v>
      </c>
      <c r="J24" s="376" t="s">
        <v>189</v>
      </c>
      <c r="K24" s="376" t="s">
        <v>189</v>
      </c>
      <c r="L24" s="376" t="s">
        <v>189</v>
      </c>
      <c r="M24" s="376" t="s">
        <v>189</v>
      </c>
      <c r="N24" s="376" t="s">
        <v>189</v>
      </c>
      <c r="O24" s="376" t="s">
        <v>189</v>
      </c>
      <c r="P24" s="376" t="s">
        <v>189</v>
      </c>
      <c r="Q24" s="376" t="s">
        <v>189</v>
      </c>
      <c r="R24" s="376" t="s">
        <v>189</v>
      </c>
      <c r="S24" s="376" t="s">
        <v>189</v>
      </c>
      <c r="T24" s="376" t="s">
        <v>189</v>
      </c>
      <c r="U24" s="376" t="s">
        <v>189</v>
      </c>
      <c r="V24" s="376" t="s">
        <v>189</v>
      </c>
      <c r="W24" s="377" t="s">
        <v>189</v>
      </c>
      <c r="X24" s="374"/>
    </row>
    <row r="25" spans="1:53" x14ac:dyDescent="0.2">
      <c r="A25" s="371"/>
      <c r="B25" s="372"/>
      <c r="C25" s="372"/>
      <c r="D25" s="372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197">
        <f t="shared" si="5"/>
        <v>0</v>
      </c>
      <c r="X25" s="374"/>
    </row>
    <row r="26" spans="1:53" x14ac:dyDescent="0.2">
      <c r="A26" s="378"/>
      <c r="B26" s="372"/>
      <c r="C26" s="379"/>
      <c r="D26" s="379"/>
      <c r="E26" s="373">
        <v>0</v>
      </c>
      <c r="F26" s="373">
        <v>0</v>
      </c>
      <c r="G26" s="373">
        <v>0</v>
      </c>
      <c r="H26" s="373">
        <v>0</v>
      </c>
      <c r="I26" s="373">
        <v>0</v>
      </c>
      <c r="J26" s="373">
        <v>0</v>
      </c>
      <c r="K26" s="373">
        <v>0</v>
      </c>
      <c r="L26" s="373">
        <v>0</v>
      </c>
      <c r="M26" s="373">
        <v>0</v>
      </c>
      <c r="N26" s="373">
        <v>0</v>
      </c>
      <c r="O26" s="373">
        <v>0</v>
      </c>
      <c r="P26" s="373">
        <v>0</v>
      </c>
      <c r="Q26" s="373">
        <v>0</v>
      </c>
      <c r="R26" s="373">
        <v>0</v>
      </c>
      <c r="S26" s="373">
        <v>0</v>
      </c>
      <c r="T26" s="373">
        <v>0</v>
      </c>
      <c r="U26" s="373">
        <v>0</v>
      </c>
      <c r="V26" s="373">
        <v>0</v>
      </c>
      <c r="W26" s="197">
        <f t="shared" si="5"/>
        <v>0</v>
      </c>
      <c r="X26" s="374"/>
    </row>
    <row r="27" spans="1:53" x14ac:dyDescent="0.2">
      <c r="A27" s="380"/>
      <c r="B27" s="381"/>
      <c r="C27" s="382"/>
      <c r="D27" s="382"/>
      <c r="E27" s="383">
        <v>0</v>
      </c>
      <c r="F27" s="383">
        <v>0</v>
      </c>
      <c r="G27" s="383">
        <v>0</v>
      </c>
      <c r="H27" s="383">
        <v>0</v>
      </c>
      <c r="I27" s="383">
        <v>0</v>
      </c>
      <c r="J27" s="383">
        <v>0</v>
      </c>
      <c r="K27" s="383">
        <v>0</v>
      </c>
      <c r="L27" s="383">
        <v>0</v>
      </c>
      <c r="M27" s="383">
        <v>0</v>
      </c>
      <c r="N27" s="383">
        <v>0</v>
      </c>
      <c r="O27" s="383">
        <v>0</v>
      </c>
      <c r="P27" s="383">
        <v>0</v>
      </c>
      <c r="Q27" s="383">
        <v>0</v>
      </c>
      <c r="R27" s="383">
        <v>0</v>
      </c>
      <c r="S27" s="383">
        <v>0</v>
      </c>
      <c r="T27" s="383">
        <v>0</v>
      </c>
      <c r="U27" s="383">
        <v>0</v>
      </c>
      <c r="V27" s="383">
        <v>0</v>
      </c>
      <c r="W27" s="384">
        <f t="shared" si="5"/>
        <v>0</v>
      </c>
      <c r="X27" s="385"/>
    </row>
    <row r="28" spans="1:53" s="1" customFormat="1" x14ac:dyDescent="0.2">
      <c r="A28" s="13" t="s">
        <v>149</v>
      </c>
      <c r="B28" s="142"/>
      <c r="C28" s="14"/>
      <c r="D28" s="14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x14ac:dyDescent="0.2">
      <c r="A29" s="11" t="s">
        <v>33</v>
      </c>
      <c r="B29" s="143" t="s">
        <v>178</v>
      </c>
      <c r="X29" s="386"/>
    </row>
    <row r="30" spans="1:53" x14ac:dyDescent="0.2">
      <c r="A30" s="110" t="s">
        <v>150</v>
      </c>
      <c r="X30" s="10"/>
    </row>
    <row r="31" spans="1:53" x14ac:dyDescent="0.2">
      <c r="A31" s="366" t="s">
        <v>249</v>
      </c>
      <c r="B31" s="367" t="s">
        <v>37</v>
      </c>
      <c r="C31" s="368" t="s">
        <v>135</v>
      </c>
      <c r="D31" s="368" t="s">
        <v>38</v>
      </c>
      <c r="E31" s="369">
        <f t="shared" ref="E31:W31" si="7">E22</f>
        <v>0</v>
      </c>
      <c r="F31" s="369">
        <f t="shared" si="7"/>
        <v>0</v>
      </c>
      <c r="G31" s="369">
        <f t="shared" si="7"/>
        <v>0</v>
      </c>
      <c r="H31" s="369">
        <f t="shared" si="7"/>
        <v>0</v>
      </c>
      <c r="I31" s="369">
        <f t="shared" si="7"/>
        <v>0</v>
      </c>
      <c r="J31" s="369">
        <f t="shared" si="7"/>
        <v>0</v>
      </c>
      <c r="K31" s="369">
        <f t="shared" si="7"/>
        <v>0</v>
      </c>
      <c r="L31" s="369">
        <f t="shared" si="7"/>
        <v>0</v>
      </c>
      <c r="M31" s="369">
        <f t="shared" si="7"/>
        <v>0</v>
      </c>
      <c r="N31" s="369">
        <f t="shared" si="7"/>
        <v>0</v>
      </c>
      <c r="O31" s="369">
        <f t="shared" si="7"/>
        <v>0</v>
      </c>
      <c r="P31" s="369">
        <f t="shared" si="7"/>
        <v>0</v>
      </c>
      <c r="Q31" s="369">
        <f t="shared" si="7"/>
        <v>0</v>
      </c>
      <c r="R31" s="369">
        <f t="shared" si="7"/>
        <v>0</v>
      </c>
      <c r="S31" s="369">
        <f t="shared" si="7"/>
        <v>0</v>
      </c>
      <c r="T31" s="369">
        <f t="shared" si="7"/>
        <v>0</v>
      </c>
      <c r="U31" s="369">
        <f t="shared" si="7"/>
        <v>0</v>
      </c>
      <c r="V31" s="369">
        <f t="shared" si="7"/>
        <v>0</v>
      </c>
      <c r="W31" s="370" t="str">
        <f t="shared" si="7"/>
        <v>Total</v>
      </c>
      <c r="X31" s="126"/>
    </row>
    <row r="32" spans="1:53" outlineLevel="2" x14ac:dyDescent="0.2">
      <c r="A32" s="371" t="s">
        <v>243</v>
      </c>
      <c r="B32" s="372" t="s">
        <v>183</v>
      </c>
      <c r="C32" s="379" t="s">
        <v>184</v>
      </c>
      <c r="D32" s="379" t="s">
        <v>185</v>
      </c>
      <c r="E32" s="373" t="s">
        <v>190</v>
      </c>
      <c r="F32" s="373" t="s">
        <v>191</v>
      </c>
      <c r="G32" s="373" t="s">
        <v>192</v>
      </c>
      <c r="H32" s="373" t="s">
        <v>193</v>
      </c>
      <c r="I32" s="373" t="s">
        <v>194</v>
      </c>
      <c r="J32" s="373" t="s">
        <v>195</v>
      </c>
      <c r="K32" s="373" t="s">
        <v>196</v>
      </c>
      <c r="L32" s="373" t="s">
        <v>197</v>
      </c>
      <c r="M32" s="373" t="s">
        <v>198</v>
      </c>
      <c r="N32" s="373" t="s">
        <v>199</v>
      </c>
      <c r="O32" s="373" t="s">
        <v>200</v>
      </c>
      <c r="P32" s="373" t="s">
        <v>201</v>
      </c>
      <c r="Q32" s="373" t="s">
        <v>234</v>
      </c>
      <c r="R32" s="373" t="s">
        <v>235</v>
      </c>
      <c r="S32" s="373" t="s">
        <v>236</v>
      </c>
      <c r="T32" s="373" t="s">
        <v>237</v>
      </c>
      <c r="U32" s="373" t="s">
        <v>238</v>
      </c>
      <c r="V32" s="373" t="s">
        <v>239</v>
      </c>
      <c r="W32" s="197">
        <f t="shared" ref="W32:W38" si="8">SUM(E32:V32)</f>
        <v>0</v>
      </c>
      <c r="X32" s="374" t="s">
        <v>244</v>
      </c>
      <c r="Y32" s="9"/>
    </row>
    <row r="33" spans="1:53" x14ac:dyDescent="0.2">
      <c r="A33" s="375" t="s">
        <v>250</v>
      </c>
      <c r="B33" s="372"/>
      <c r="C33" s="379"/>
      <c r="D33" s="379"/>
      <c r="E33" s="376" t="s">
        <v>189</v>
      </c>
      <c r="F33" s="376" t="s">
        <v>189</v>
      </c>
      <c r="G33" s="376" t="s">
        <v>189</v>
      </c>
      <c r="H33" s="376" t="s">
        <v>189</v>
      </c>
      <c r="I33" s="376" t="s">
        <v>189</v>
      </c>
      <c r="J33" s="376" t="s">
        <v>189</v>
      </c>
      <c r="K33" s="376" t="s">
        <v>189</v>
      </c>
      <c r="L33" s="376" t="s">
        <v>189</v>
      </c>
      <c r="M33" s="376" t="s">
        <v>189</v>
      </c>
      <c r="N33" s="376" t="s">
        <v>189</v>
      </c>
      <c r="O33" s="376" t="s">
        <v>189</v>
      </c>
      <c r="P33" s="376" t="s">
        <v>189</v>
      </c>
      <c r="Q33" s="376" t="s">
        <v>189</v>
      </c>
      <c r="R33" s="376" t="s">
        <v>189</v>
      </c>
      <c r="S33" s="376" t="s">
        <v>189</v>
      </c>
      <c r="T33" s="376" t="s">
        <v>189</v>
      </c>
      <c r="U33" s="376" t="s">
        <v>189</v>
      </c>
      <c r="V33" s="376" t="s">
        <v>189</v>
      </c>
      <c r="W33" s="377" t="s">
        <v>189</v>
      </c>
      <c r="X33" s="374"/>
    </row>
    <row r="34" spans="1:53" x14ac:dyDescent="0.2">
      <c r="A34" s="375"/>
      <c r="B34" s="372"/>
      <c r="C34" s="379"/>
      <c r="D34" s="379"/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73"/>
      <c r="P34" s="373"/>
      <c r="Q34" s="373"/>
      <c r="R34" s="373"/>
      <c r="S34" s="373"/>
      <c r="T34" s="373"/>
      <c r="U34" s="373"/>
      <c r="V34" s="373"/>
      <c r="W34" s="197"/>
      <c r="X34" s="374"/>
    </row>
    <row r="35" spans="1:53" x14ac:dyDescent="0.2">
      <c r="A35" s="378"/>
      <c r="B35" s="372"/>
      <c r="C35" s="387"/>
      <c r="D35" s="379"/>
      <c r="E35" s="376"/>
      <c r="F35" s="376"/>
      <c r="G35" s="376"/>
      <c r="H35" s="376"/>
      <c r="I35" s="376"/>
      <c r="J35" s="376"/>
      <c r="K35" s="376"/>
      <c r="L35" s="376"/>
      <c r="M35" s="376"/>
      <c r="N35" s="376"/>
      <c r="O35" s="376"/>
      <c r="P35" s="376"/>
      <c r="Q35" s="376"/>
      <c r="R35" s="376"/>
      <c r="S35" s="376"/>
      <c r="T35" s="376"/>
      <c r="U35" s="376"/>
      <c r="V35" s="376"/>
      <c r="W35" s="197">
        <f t="shared" si="8"/>
        <v>0</v>
      </c>
      <c r="X35" s="374"/>
    </row>
    <row r="36" spans="1:53" x14ac:dyDescent="0.2">
      <c r="A36" s="378"/>
      <c r="B36" s="372"/>
      <c r="C36" s="379"/>
      <c r="D36" s="379"/>
      <c r="E36" s="373"/>
      <c r="F36" s="373"/>
      <c r="G36" s="373"/>
      <c r="H36" s="373"/>
      <c r="I36" s="373"/>
      <c r="J36" s="373"/>
      <c r="K36" s="373"/>
      <c r="L36" s="373"/>
      <c r="M36" s="373"/>
      <c r="N36" s="373"/>
      <c r="O36" s="373"/>
      <c r="P36" s="373"/>
      <c r="Q36" s="373"/>
      <c r="R36" s="373"/>
      <c r="S36" s="373"/>
      <c r="T36" s="373"/>
      <c r="U36" s="373"/>
      <c r="V36" s="373"/>
      <c r="W36" s="197">
        <f t="shared" si="8"/>
        <v>0</v>
      </c>
      <c r="X36" s="374"/>
    </row>
    <row r="37" spans="1:53" x14ac:dyDescent="0.2">
      <c r="A37" s="378"/>
      <c r="B37" s="372"/>
      <c r="C37" s="379"/>
      <c r="D37" s="379"/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373"/>
      <c r="P37" s="373"/>
      <c r="Q37" s="373"/>
      <c r="R37" s="373"/>
      <c r="S37" s="373"/>
      <c r="T37" s="373"/>
      <c r="U37" s="373"/>
      <c r="V37" s="373"/>
      <c r="W37" s="197">
        <f t="shared" si="8"/>
        <v>0</v>
      </c>
      <c r="X37" s="374"/>
    </row>
    <row r="38" spans="1:53" x14ac:dyDescent="0.2">
      <c r="A38" s="380"/>
      <c r="B38" s="381"/>
      <c r="C38" s="382"/>
      <c r="D38" s="382"/>
      <c r="E38" s="383">
        <v>0</v>
      </c>
      <c r="F38" s="383">
        <v>0</v>
      </c>
      <c r="G38" s="383">
        <v>0</v>
      </c>
      <c r="H38" s="383">
        <v>0</v>
      </c>
      <c r="I38" s="383">
        <v>0</v>
      </c>
      <c r="J38" s="383">
        <v>0</v>
      </c>
      <c r="K38" s="383">
        <v>0</v>
      </c>
      <c r="L38" s="383">
        <v>0</v>
      </c>
      <c r="M38" s="383">
        <v>0</v>
      </c>
      <c r="N38" s="383">
        <v>0</v>
      </c>
      <c r="O38" s="383">
        <v>0</v>
      </c>
      <c r="P38" s="383">
        <v>0</v>
      </c>
      <c r="Q38" s="383">
        <v>0</v>
      </c>
      <c r="R38" s="383">
        <v>0</v>
      </c>
      <c r="S38" s="383">
        <v>0</v>
      </c>
      <c r="T38" s="383">
        <v>0</v>
      </c>
      <c r="U38" s="383">
        <v>0</v>
      </c>
      <c r="V38" s="383">
        <v>0</v>
      </c>
      <c r="W38" s="388">
        <f t="shared" si="8"/>
        <v>0</v>
      </c>
      <c r="X38" s="385"/>
    </row>
    <row r="39" spans="1:53" s="1" customFormat="1" x14ac:dyDescent="0.2">
      <c r="A39" s="187" t="s">
        <v>151</v>
      </c>
      <c r="B39" s="188"/>
      <c r="C39" s="189"/>
      <c r="D39" s="189"/>
      <c r="E39" s="190">
        <f t="shared" ref="E39:W39" si="9">SUM(E32:E38)/2</f>
        <v>0</v>
      </c>
      <c r="F39" s="190">
        <f t="shared" si="9"/>
        <v>0</v>
      </c>
      <c r="G39" s="190">
        <f t="shared" si="9"/>
        <v>0</v>
      </c>
      <c r="H39" s="190">
        <f t="shared" si="9"/>
        <v>0</v>
      </c>
      <c r="I39" s="190">
        <f t="shared" si="9"/>
        <v>0</v>
      </c>
      <c r="J39" s="190">
        <f t="shared" si="9"/>
        <v>0</v>
      </c>
      <c r="K39" s="190">
        <f t="shared" si="9"/>
        <v>0</v>
      </c>
      <c r="L39" s="190">
        <f t="shared" si="9"/>
        <v>0</v>
      </c>
      <c r="M39" s="190">
        <f t="shared" si="9"/>
        <v>0</v>
      </c>
      <c r="N39" s="190">
        <f t="shared" si="9"/>
        <v>0</v>
      </c>
      <c r="O39" s="190">
        <f t="shared" si="9"/>
        <v>0</v>
      </c>
      <c r="P39" s="190">
        <f t="shared" si="9"/>
        <v>0</v>
      </c>
      <c r="Q39" s="190">
        <f t="shared" si="9"/>
        <v>0</v>
      </c>
      <c r="R39" s="190">
        <f t="shared" si="9"/>
        <v>0</v>
      </c>
      <c r="S39" s="190">
        <f t="shared" si="9"/>
        <v>0</v>
      </c>
      <c r="T39" s="190">
        <f t="shared" si="9"/>
        <v>0</v>
      </c>
      <c r="U39" s="190">
        <f t="shared" si="9"/>
        <v>0</v>
      </c>
      <c r="V39" s="190">
        <f t="shared" si="9"/>
        <v>0</v>
      </c>
      <c r="W39" s="190">
        <f t="shared" si="9"/>
        <v>0</v>
      </c>
      <c r="X39" s="19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s="1" customFormat="1" x14ac:dyDescent="0.2">
      <c r="A40" s="192" t="s">
        <v>152</v>
      </c>
      <c r="B40" s="193"/>
      <c r="C40" s="194"/>
      <c r="D40" s="195"/>
      <c r="E40" s="196">
        <f t="shared" ref="E40:W40" si="10">SUMIF($X32:$X38,1,E32:E38)</f>
        <v>0</v>
      </c>
      <c r="F40" s="196">
        <f t="shared" si="10"/>
        <v>0</v>
      </c>
      <c r="G40" s="196">
        <f t="shared" si="10"/>
        <v>0</v>
      </c>
      <c r="H40" s="196">
        <f t="shared" si="10"/>
        <v>0</v>
      </c>
      <c r="I40" s="196">
        <f t="shared" si="10"/>
        <v>0</v>
      </c>
      <c r="J40" s="196">
        <f t="shared" si="10"/>
        <v>0</v>
      </c>
      <c r="K40" s="196">
        <f t="shared" si="10"/>
        <v>0</v>
      </c>
      <c r="L40" s="196">
        <f t="shared" si="10"/>
        <v>0</v>
      </c>
      <c r="M40" s="196">
        <f t="shared" si="10"/>
        <v>0</v>
      </c>
      <c r="N40" s="196">
        <f t="shared" si="10"/>
        <v>0</v>
      </c>
      <c r="O40" s="196">
        <f t="shared" si="10"/>
        <v>0</v>
      </c>
      <c r="P40" s="196">
        <f t="shared" si="10"/>
        <v>0</v>
      </c>
      <c r="Q40" s="196">
        <f t="shared" si="10"/>
        <v>0</v>
      </c>
      <c r="R40" s="196">
        <f t="shared" si="10"/>
        <v>0</v>
      </c>
      <c r="S40" s="196">
        <f t="shared" si="10"/>
        <v>0</v>
      </c>
      <c r="T40" s="196">
        <f t="shared" si="10"/>
        <v>0</v>
      </c>
      <c r="U40" s="196">
        <f t="shared" si="10"/>
        <v>0</v>
      </c>
      <c r="V40" s="196">
        <f t="shared" si="10"/>
        <v>0</v>
      </c>
      <c r="W40" s="197">
        <f t="shared" si="10"/>
        <v>0</v>
      </c>
      <c r="X40" s="198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</row>
    <row r="41" spans="1:53" s="1" customFormat="1" x14ac:dyDescent="0.2">
      <c r="A41" s="199" t="s">
        <v>153</v>
      </c>
      <c r="B41" s="200"/>
      <c r="C41" s="201"/>
      <c r="D41" s="202"/>
      <c r="E41" s="203">
        <f>E39-E40</f>
        <v>0</v>
      </c>
      <c r="F41" s="203">
        <f t="shared" ref="F41:W41" si="11">F39-F40</f>
        <v>0</v>
      </c>
      <c r="G41" s="203">
        <f t="shared" si="11"/>
        <v>0</v>
      </c>
      <c r="H41" s="203">
        <f t="shared" si="11"/>
        <v>0</v>
      </c>
      <c r="I41" s="203">
        <f t="shared" si="11"/>
        <v>0</v>
      </c>
      <c r="J41" s="203">
        <f t="shared" si="11"/>
        <v>0</v>
      </c>
      <c r="K41" s="203">
        <f t="shared" si="11"/>
        <v>0</v>
      </c>
      <c r="L41" s="203">
        <f t="shared" si="11"/>
        <v>0</v>
      </c>
      <c r="M41" s="203">
        <f t="shared" si="11"/>
        <v>0</v>
      </c>
      <c r="N41" s="203">
        <f t="shared" si="11"/>
        <v>0</v>
      </c>
      <c r="O41" s="203">
        <f t="shared" si="11"/>
        <v>0</v>
      </c>
      <c r="P41" s="203">
        <f t="shared" si="11"/>
        <v>0</v>
      </c>
      <c r="Q41" s="203">
        <f t="shared" si="11"/>
        <v>0</v>
      </c>
      <c r="R41" s="203">
        <f t="shared" si="11"/>
        <v>0</v>
      </c>
      <c r="S41" s="203">
        <f t="shared" si="11"/>
        <v>0</v>
      </c>
      <c r="T41" s="203">
        <f t="shared" si="11"/>
        <v>0</v>
      </c>
      <c r="U41" s="203">
        <f t="shared" si="11"/>
        <v>0</v>
      </c>
      <c r="V41" s="203">
        <f t="shared" si="11"/>
        <v>0</v>
      </c>
      <c r="W41" s="384">
        <f t="shared" si="11"/>
        <v>0</v>
      </c>
      <c r="X41" s="204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</row>
    <row r="42" spans="1:53" ht="13.5" thickBot="1" x14ac:dyDescent="0.25">
      <c r="A42" s="110" t="s">
        <v>88</v>
      </c>
      <c r="X42" s="10"/>
    </row>
    <row r="43" spans="1:53" x14ac:dyDescent="0.2">
      <c r="A43" s="33" t="s">
        <v>33</v>
      </c>
      <c r="B43" s="144"/>
      <c r="C43" s="88"/>
      <c r="D43" s="88"/>
      <c r="E43" s="89">
        <f t="shared" ref="E43:W43" si="12">E22</f>
        <v>0</v>
      </c>
      <c r="F43" s="89">
        <f t="shared" si="12"/>
        <v>0</v>
      </c>
      <c r="G43" s="89">
        <f t="shared" si="12"/>
        <v>0</v>
      </c>
      <c r="H43" s="89">
        <f t="shared" si="12"/>
        <v>0</v>
      </c>
      <c r="I43" s="89">
        <f t="shared" si="12"/>
        <v>0</v>
      </c>
      <c r="J43" s="89">
        <f t="shared" si="12"/>
        <v>0</v>
      </c>
      <c r="K43" s="89">
        <f t="shared" si="12"/>
        <v>0</v>
      </c>
      <c r="L43" s="89">
        <f t="shared" si="12"/>
        <v>0</v>
      </c>
      <c r="M43" s="89">
        <f t="shared" si="12"/>
        <v>0</v>
      </c>
      <c r="N43" s="89">
        <f t="shared" si="12"/>
        <v>0</v>
      </c>
      <c r="O43" s="89">
        <f t="shared" si="12"/>
        <v>0</v>
      </c>
      <c r="P43" s="89">
        <f t="shared" si="12"/>
        <v>0</v>
      </c>
      <c r="Q43" s="89">
        <f t="shared" si="12"/>
        <v>0</v>
      </c>
      <c r="R43" s="89">
        <f t="shared" si="12"/>
        <v>0</v>
      </c>
      <c r="S43" s="89">
        <f t="shared" si="12"/>
        <v>0</v>
      </c>
      <c r="T43" s="89">
        <f t="shared" si="12"/>
        <v>0</v>
      </c>
      <c r="U43" s="89">
        <f t="shared" si="12"/>
        <v>0</v>
      </c>
      <c r="V43" s="89">
        <f t="shared" si="12"/>
        <v>0</v>
      </c>
      <c r="W43" s="89" t="str">
        <f t="shared" si="12"/>
        <v>Total</v>
      </c>
      <c r="X43" s="5"/>
    </row>
    <row r="44" spans="1:53" x14ac:dyDescent="0.2">
      <c r="A44" s="34" t="s">
        <v>154</v>
      </c>
      <c r="B44" s="141"/>
      <c r="C44" s="31"/>
      <c r="D44" s="31"/>
      <c r="E44" s="39">
        <f t="shared" ref="E44:V44" si="13">E17</f>
        <v>0</v>
      </c>
      <c r="F44" s="39">
        <f t="shared" si="13"/>
        <v>0</v>
      </c>
      <c r="G44" s="39">
        <f t="shared" si="13"/>
        <v>0</v>
      </c>
      <c r="H44" s="39">
        <f t="shared" si="13"/>
        <v>0</v>
      </c>
      <c r="I44" s="39">
        <f t="shared" si="13"/>
        <v>0</v>
      </c>
      <c r="J44" s="39">
        <f t="shared" si="13"/>
        <v>0</v>
      </c>
      <c r="K44" s="39">
        <f t="shared" si="13"/>
        <v>0</v>
      </c>
      <c r="L44" s="39">
        <f t="shared" si="13"/>
        <v>0</v>
      </c>
      <c r="M44" s="39">
        <f t="shared" si="13"/>
        <v>0</v>
      </c>
      <c r="N44" s="39">
        <f t="shared" si="13"/>
        <v>0</v>
      </c>
      <c r="O44" s="39">
        <f t="shared" si="13"/>
        <v>0</v>
      </c>
      <c r="P44" s="39">
        <f t="shared" si="13"/>
        <v>0</v>
      </c>
      <c r="Q44" s="39">
        <f t="shared" si="13"/>
        <v>0</v>
      </c>
      <c r="R44" s="39">
        <f t="shared" si="13"/>
        <v>0</v>
      </c>
      <c r="S44" s="39">
        <f t="shared" si="13"/>
        <v>0</v>
      </c>
      <c r="T44" s="39">
        <f t="shared" si="13"/>
        <v>0</v>
      </c>
      <c r="U44" s="39">
        <f t="shared" si="13"/>
        <v>0</v>
      </c>
      <c r="V44" s="39">
        <f t="shared" si="13"/>
        <v>0</v>
      </c>
      <c r="W44" s="39">
        <f>SUM(E44:V44)</f>
        <v>0</v>
      </c>
      <c r="X44" s="32"/>
    </row>
    <row r="45" spans="1:53" x14ac:dyDescent="0.2">
      <c r="A45" s="34" t="s">
        <v>155</v>
      </c>
      <c r="B45" s="141"/>
      <c r="C45" s="31"/>
      <c r="D45" s="31"/>
      <c r="E45" s="39">
        <f t="shared" ref="E45:V45" si="14">E19</f>
        <v>0</v>
      </c>
      <c r="F45" s="39">
        <f t="shared" si="14"/>
        <v>0</v>
      </c>
      <c r="G45" s="39">
        <f t="shared" si="14"/>
        <v>0</v>
      </c>
      <c r="H45" s="39">
        <f t="shared" si="14"/>
        <v>0</v>
      </c>
      <c r="I45" s="39">
        <f t="shared" si="14"/>
        <v>0</v>
      </c>
      <c r="J45" s="39">
        <f t="shared" si="14"/>
        <v>0</v>
      </c>
      <c r="K45" s="39">
        <f t="shared" si="14"/>
        <v>0</v>
      </c>
      <c r="L45" s="39">
        <f t="shared" si="14"/>
        <v>0</v>
      </c>
      <c r="M45" s="39">
        <f t="shared" si="14"/>
        <v>0</v>
      </c>
      <c r="N45" s="39">
        <f t="shared" si="14"/>
        <v>0</v>
      </c>
      <c r="O45" s="39">
        <f t="shared" si="14"/>
        <v>0</v>
      </c>
      <c r="P45" s="39">
        <f t="shared" si="14"/>
        <v>0</v>
      </c>
      <c r="Q45" s="39">
        <f t="shared" si="14"/>
        <v>0</v>
      </c>
      <c r="R45" s="39">
        <f t="shared" si="14"/>
        <v>0</v>
      </c>
      <c r="S45" s="39">
        <f t="shared" si="14"/>
        <v>0</v>
      </c>
      <c r="T45" s="39">
        <f t="shared" si="14"/>
        <v>0</v>
      </c>
      <c r="U45" s="39">
        <f t="shared" si="14"/>
        <v>0</v>
      </c>
      <c r="V45" s="39">
        <f t="shared" si="14"/>
        <v>0</v>
      </c>
      <c r="W45" s="39">
        <f>SUM(E45:V45)</f>
        <v>0</v>
      </c>
      <c r="X45" s="20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 s="2"/>
      <c r="AW45" s="2"/>
      <c r="AX45" s="2"/>
      <c r="AY45" s="2"/>
      <c r="AZ45" s="2"/>
      <c r="BA45" s="2"/>
    </row>
    <row r="46" spans="1:53" x14ac:dyDescent="0.2">
      <c r="A46" s="34" t="s">
        <v>156</v>
      </c>
      <c r="B46" s="141"/>
      <c r="C46" s="31"/>
      <c r="D46" s="31"/>
      <c r="E46" s="39">
        <f t="shared" ref="E46:W46" si="15">(E45*E20%)+E45</f>
        <v>0</v>
      </c>
      <c r="F46" s="39">
        <f t="shared" si="15"/>
        <v>0</v>
      </c>
      <c r="G46" s="39">
        <f t="shared" si="15"/>
        <v>0</v>
      </c>
      <c r="H46" s="39">
        <f t="shared" si="15"/>
        <v>0</v>
      </c>
      <c r="I46" s="39">
        <f t="shared" si="15"/>
        <v>0</v>
      </c>
      <c r="J46" s="39">
        <f t="shared" si="15"/>
        <v>0</v>
      </c>
      <c r="K46" s="39">
        <f t="shared" si="15"/>
        <v>0</v>
      </c>
      <c r="L46" s="39">
        <f t="shared" si="15"/>
        <v>0</v>
      </c>
      <c r="M46" s="39">
        <f t="shared" si="15"/>
        <v>0</v>
      </c>
      <c r="N46" s="39">
        <f t="shared" si="15"/>
        <v>0</v>
      </c>
      <c r="O46" s="39">
        <f t="shared" si="15"/>
        <v>0</v>
      </c>
      <c r="P46" s="39">
        <f t="shared" si="15"/>
        <v>0</v>
      </c>
      <c r="Q46" s="39">
        <f t="shared" si="15"/>
        <v>0</v>
      </c>
      <c r="R46" s="39">
        <f t="shared" si="15"/>
        <v>0</v>
      </c>
      <c r="S46" s="39">
        <f t="shared" si="15"/>
        <v>0</v>
      </c>
      <c r="T46" s="39">
        <f t="shared" si="15"/>
        <v>0</v>
      </c>
      <c r="U46" s="39">
        <f t="shared" si="15"/>
        <v>0</v>
      </c>
      <c r="V46" s="39">
        <f t="shared" si="15"/>
        <v>0</v>
      </c>
      <c r="W46" s="39">
        <f t="shared" si="15"/>
        <v>0</v>
      </c>
      <c r="X46" s="32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53" x14ac:dyDescent="0.2">
      <c r="A47" s="34" t="s">
        <v>157</v>
      </c>
      <c r="B47" s="141"/>
      <c r="C47" s="31"/>
      <c r="D47" s="31"/>
      <c r="E47" s="39">
        <f t="shared" ref="E47:V47" si="16">E28</f>
        <v>0</v>
      </c>
      <c r="F47" s="39">
        <f t="shared" si="16"/>
        <v>0</v>
      </c>
      <c r="G47" s="39">
        <f t="shared" si="16"/>
        <v>0</v>
      </c>
      <c r="H47" s="39">
        <f t="shared" si="16"/>
        <v>0</v>
      </c>
      <c r="I47" s="39">
        <f t="shared" si="16"/>
        <v>0</v>
      </c>
      <c r="J47" s="39">
        <f t="shared" si="16"/>
        <v>0</v>
      </c>
      <c r="K47" s="39">
        <f t="shared" si="16"/>
        <v>0</v>
      </c>
      <c r="L47" s="39">
        <f t="shared" si="16"/>
        <v>0</v>
      </c>
      <c r="M47" s="39">
        <f t="shared" si="16"/>
        <v>0</v>
      </c>
      <c r="N47" s="39">
        <f t="shared" si="16"/>
        <v>0</v>
      </c>
      <c r="O47" s="39">
        <f t="shared" si="16"/>
        <v>0</v>
      </c>
      <c r="P47" s="39">
        <f t="shared" si="16"/>
        <v>0</v>
      </c>
      <c r="Q47" s="39">
        <f t="shared" si="16"/>
        <v>0</v>
      </c>
      <c r="R47" s="39">
        <f t="shared" si="16"/>
        <v>0</v>
      </c>
      <c r="S47" s="39">
        <f t="shared" si="16"/>
        <v>0</v>
      </c>
      <c r="T47" s="39">
        <f t="shared" si="16"/>
        <v>0</v>
      </c>
      <c r="U47" s="39">
        <f t="shared" si="16"/>
        <v>0</v>
      </c>
      <c r="V47" s="39">
        <f t="shared" si="16"/>
        <v>0</v>
      </c>
      <c r="W47" s="39">
        <f>SUM(E47:V47)</f>
        <v>0</v>
      </c>
      <c r="X47" s="32"/>
    </row>
    <row r="48" spans="1:53" x14ac:dyDescent="0.2">
      <c r="A48" s="34" t="s">
        <v>158</v>
      </c>
      <c r="B48" s="141"/>
      <c r="C48" s="31"/>
      <c r="D48" s="31"/>
      <c r="E48" s="39">
        <f t="shared" ref="E48:V48" si="17">E28+E39</f>
        <v>0</v>
      </c>
      <c r="F48" s="39">
        <f t="shared" si="17"/>
        <v>0</v>
      </c>
      <c r="G48" s="39">
        <f t="shared" si="17"/>
        <v>0</v>
      </c>
      <c r="H48" s="39">
        <f t="shared" si="17"/>
        <v>0</v>
      </c>
      <c r="I48" s="39">
        <f t="shared" si="17"/>
        <v>0</v>
      </c>
      <c r="J48" s="39">
        <f t="shared" si="17"/>
        <v>0</v>
      </c>
      <c r="K48" s="39">
        <f t="shared" si="17"/>
        <v>0</v>
      </c>
      <c r="L48" s="39">
        <f t="shared" si="17"/>
        <v>0</v>
      </c>
      <c r="M48" s="39">
        <f t="shared" si="17"/>
        <v>0</v>
      </c>
      <c r="N48" s="39">
        <f t="shared" si="17"/>
        <v>0</v>
      </c>
      <c r="O48" s="39">
        <f t="shared" si="17"/>
        <v>0</v>
      </c>
      <c r="P48" s="39">
        <f t="shared" si="17"/>
        <v>0</v>
      </c>
      <c r="Q48" s="39">
        <f t="shared" si="17"/>
        <v>0</v>
      </c>
      <c r="R48" s="39">
        <f t="shared" si="17"/>
        <v>0</v>
      </c>
      <c r="S48" s="39">
        <f t="shared" si="17"/>
        <v>0</v>
      </c>
      <c r="T48" s="39">
        <f t="shared" si="17"/>
        <v>0</v>
      </c>
      <c r="U48" s="39">
        <f t="shared" si="17"/>
        <v>0</v>
      </c>
      <c r="V48" s="39">
        <f t="shared" si="17"/>
        <v>0</v>
      </c>
      <c r="W48" s="39">
        <f>SUM(E48:V48)</f>
        <v>0</v>
      </c>
      <c r="X48" s="32"/>
    </row>
    <row r="49" spans="1:24" x14ac:dyDescent="0.2">
      <c r="A49" s="206" t="s">
        <v>159</v>
      </c>
      <c r="B49" s="141"/>
      <c r="C49" s="31"/>
      <c r="D49" s="31"/>
      <c r="E49" s="39">
        <f t="shared" ref="E49:V49" si="18">E28+E40</f>
        <v>0</v>
      </c>
      <c r="F49" s="39">
        <f t="shared" si="18"/>
        <v>0</v>
      </c>
      <c r="G49" s="39">
        <f t="shared" si="18"/>
        <v>0</v>
      </c>
      <c r="H49" s="39">
        <f t="shared" si="18"/>
        <v>0</v>
      </c>
      <c r="I49" s="39">
        <f t="shared" si="18"/>
        <v>0</v>
      </c>
      <c r="J49" s="39">
        <f t="shared" si="18"/>
        <v>0</v>
      </c>
      <c r="K49" s="39">
        <f t="shared" si="18"/>
        <v>0</v>
      </c>
      <c r="L49" s="39">
        <f t="shared" si="18"/>
        <v>0</v>
      </c>
      <c r="M49" s="39">
        <f t="shared" si="18"/>
        <v>0</v>
      </c>
      <c r="N49" s="39">
        <f t="shared" si="18"/>
        <v>0</v>
      </c>
      <c r="O49" s="39">
        <f t="shared" si="18"/>
        <v>0</v>
      </c>
      <c r="P49" s="39">
        <f t="shared" si="18"/>
        <v>0</v>
      </c>
      <c r="Q49" s="39">
        <f t="shared" si="18"/>
        <v>0</v>
      </c>
      <c r="R49" s="39">
        <f t="shared" si="18"/>
        <v>0</v>
      </c>
      <c r="S49" s="39">
        <f t="shared" si="18"/>
        <v>0</v>
      </c>
      <c r="T49" s="39">
        <f t="shared" si="18"/>
        <v>0</v>
      </c>
      <c r="U49" s="39">
        <f t="shared" si="18"/>
        <v>0</v>
      </c>
      <c r="V49" s="39">
        <f t="shared" si="18"/>
        <v>0</v>
      </c>
      <c r="W49" s="39">
        <f>SUM(E49:V49)</f>
        <v>0</v>
      </c>
      <c r="X49" s="32"/>
    </row>
    <row r="50" spans="1:24" x14ac:dyDescent="0.2">
      <c r="A50" s="34" t="s">
        <v>160</v>
      </c>
      <c r="B50" s="141"/>
      <c r="C50" s="31"/>
      <c r="D50" s="31"/>
      <c r="E50" s="39">
        <f>IF(E46&gt;E48,E46-E48,0)</f>
        <v>0</v>
      </c>
      <c r="F50" s="39">
        <f t="shared" ref="F50:V50" si="19">IF(F46&gt;F48,F46-F48,0)</f>
        <v>0</v>
      </c>
      <c r="G50" s="39">
        <f t="shared" si="19"/>
        <v>0</v>
      </c>
      <c r="H50" s="39">
        <f t="shared" si="19"/>
        <v>0</v>
      </c>
      <c r="I50" s="39">
        <f t="shared" si="19"/>
        <v>0</v>
      </c>
      <c r="J50" s="39">
        <f t="shared" si="19"/>
        <v>0</v>
      </c>
      <c r="K50" s="39">
        <f t="shared" si="19"/>
        <v>0</v>
      </c>
      <c r="L50" s="39">
        <f t="shared" si="19"/>
        <v>0</v>
      </c>
      <c r="M50" s="39">
        <f t="shared" si="19"/>
        <v>0</v>
      </c>
      <c r="N50" s="39">
        <f t="shared" si="19"/>
        <v>0</v>
      </c>
      <c r="O50" s="39">
        <f t="shared" si="19"/>
        <v>0</v>
      </c>
      <c r="P50" s="39">
        <f t="shared" si="19"/>
        <v>0</v>
      </c>
      <c r="Q50" s="39">
        <f t="shared" si="19"/>
        <v>0</v>
      </c>
      <c r="R50" s="39">
        <f t="shared" si="19"/>
        <v>0</v>
      </c>
      <c r="S50" s="39">
        <f t="shared" si="19"/>
        <v>0</v>
      </c>
      <c r="T50" s="39">
        <f t="shared" si="19"/>
        <v>0</v>
      </c>
      <c r="U50" s="39">
        <f t="shared" si="19"/>
        <v>0</v>
      </c>
      <c r="V50" s="39">
        <f t="shared" si="19"/>
        <v>0</v>
      </c>
      <c r="W50" s="39">
        <f>SUM(E50:V50)</f>
        <v>0</v>
      </c>
      <c r="X50" s="32"/>
    </row>
    <row r="51" spans="1:24" ht="13.5" thickBot="1" x14ac:dyDescent="0.25">
      <c r="A51" s="35" t="s">
        <v>39</v>
      </c>
      <c r="B51" s="145"/>
      <c r="C51" s="36"/>
      <c r="D51" s="36"/>
      <c r="E51" s="40">
        <f>IF(E48&gt;E46,E48-E46,0)</f>
        <v>0</v>
      </c>
      <c r="F51" s="40">
        <f t="shared" ref="F51:V51" si="20">IF(F48&gt;F46,F48-F46,0)</f>
        <v>0</v>
      </c>
      <c r="G51" s="40">
        <f t="shared" si="20"/>
        <v>0</v>
      </c>
      <c r="H51" s="40">
        <f t="shared" si="20"/>
        <v>0</v>
      </c>
      <c r="I51" s="40">
        <f t="shared" si="20"/>
        <v>0</v>
      </c>
      <c r="J51" s="40">
        <f t="shared" si="20"/>
        <v>0</v>
      </c>
      <c r="K51" s="40">
        <f t="shared" si="20"/>
        <v>0</v>
      </c>
      <c r="L51" s="40">
        <f t="shared" si="20"/>
        <v>0</v>
      </c>
      <c r="M51" s="40">
        <f t="shared" si="20"/>
        <v>0</v>
      </c>
      <c r="N51" s="40">
        <f t="shared" si="20"/>
        <v>0</v>
      </c>
      <c r="O51" s="40">
        <f t="shared" si="20"/>
        <v>0</v>
      </c>
      <c r="P51" s="40">
        <f t="shared" si="20"/>
        <v>0</v>
      </c>
      <c r="Q51" s="40">
        <f t="shared" si="20"/>
        <v>0</v>
      </c>
      <c r="R51" s="40">
        <f t="shared" si="20"/>
        <v>0</v>
      </c>
      <c r="S51" s="40">
        <f t="shared" si="20"/>
        <v>0</v>
      </c>
      <c r="T51" s="40">
        <f t="shared" si="20"/>
        <v>0</v>
      </c>
      <c r="U51" s="40">
        <f t="shared" si="20"/>
        <v>0</v>
      </c>
      <c r="V51" s="40">
        <f t="shared" si="20"/>
        <v>0</v>
      </c>
      <c r="W51" s="40">
        <f>SUM(E51:V51)</f>
        <v>0</v>
      </c>
      <c r="X51" s="37"/>
    </row>
    <row r="52" spans="1:24" x14ac:dyDescent="0.2">
      <c r="A52" s="11" t="s">
        <v>161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8"/>
      <c r="R52" s="48"/>
      <c r="S52" s="48"/>
      <c r="T52" s="48"/>
      <c r="U52" s="48"/>
      <c r="V52" s="48"/>
      <c r="W52" s="48"/>
    </row>
    <row r="53" spans="1:24" ht="13.5" thickBot="1" x14ac:dyDescent="0.25">
      <c r="A53" s="11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8"/>
      <c r="R53" s="48"/>
      <c r="S53" s="48"/>
      <c r="T53" s="48"/>
      <c r="U53" s="48"/>
      <c r="V53" s="48"/>
      <c r="W53" s="48"/>
    </row>
    <row r="54" spans="1:24" x14ac:dyDescent="0.2">
      <c r="A54" s="211" t="s">
        <v>179</v>
      </c>
      <c r="B54" s="212"/>
      <c r="C54" s="213"/>
      <c r="D54" s="213"/>
      <c r="E54" s="214" t="s">
        <v>190</v>
      </c>
      <c r="F54" s="214" t="s">
        <v>191</v>
      </c>
      <c r="G54" s="214" t="s">
        <v>192</v>
      </c>
      <c r="H54" s="214" t="s">
        <v>193</v>
      </c>
      <c r="I54" s="214" t="s">
        <v>194</v>
      </c>
      <c r="J54" s="214" t="s">
        <v>195</v>
      </c>
      <c r="K54" s="214" t="s">
        <v>196</v>
      </c>
      <c r="L54" s="214" t="s">
        <v>197</v>
      </c>
      <c r="M54" s="214" t="s">
        <v>198</v>
      </c>
      <c r="N54" s="214" t="s">
        <v>199</v>
      </c>
      <c r="O54" s="214" t="s">
        <v>200</v>
      </c>
      <c r="P54" s="214" t="s">
        <v>201</v>
      </c>
      <c r="Q54" s="214" t="s">
        <v>234</v>
      </c>
      <c r="R54" s="214" t="s">
        <v>235</v>
      </c>
      <c r="S54" s="214" t="s">
        <v>236</v>
      </c>
      <c r="T54" s="214" t="s">
        <v>237</v>
      </c>
      <c r="U54" s="214" t="s">
        <v>238</v>
      </c>
      <c r="V54" s="214" t="s">
        <v>239</v>
      </c>
      <c r="W54" s="389">
        <f>SUM(E54:V54)</f>
        <v>0</v>
      </c>
      <c r="X54" s="390"/>
    </row>
    <row r="55" spans="1:24" x14ac:dyDescent="0.2">
      <c r="A55" s="215" t="s">
        <v>180</v>
      </c>
      <c r="B55" s="216"/>
      <c r="C55" s="217"/>
      <c r="D55" s="217"/>
      <c r="E55" s="218" t="e">
        <f>IF((E46+E54)&gt;(E48),(E46+E54)-(E48),"")</f>
        <v>#VALUE!</v>
      </c>
      <c r="F55" s="218" t="e">
        <f t="shared" ref="F55:V55" si="21">IF((F46+F54)&gt;(F48),(F46+F54)-(F48),"")</f>
        <v>#VALUE!</v>
      </c>
      <c r="G55" s="218" t="e">
        <f t="shared" si="21"/>
        <v>#VALUE!</v>
      </c>
      <c r="H55" s="218" t="e">
        <f t="shared" si="21"/>
        <v>#VALUE!</v>
      </c>
      <c r="I55" s="218" t="e">
        <f t="shared" si="21"/>
        <v>#VALUE!</v>
      </c>
      <c r="J55" s="218" t="e">
        <f t="shared" si="21"/>
        <v>#VALUE!</v>
      </c>
      <c r="K55" s="218" t="e">
        <f t="shared" si="21"/>
        <v>#VALUE!</v>
      </c>
      <c r="L55" s="218" t="e">
        <f t="shared" si="21"/>
        <v>#VALUE!</v>
      </c>
      <c r="M55" s="218" t="e">
        <f t="shared" si="21"/>
        <v>#VALUE!</v>
      </c>
      <c r="N55" s="218" t="e">
        <f t="shared" si="21"/>
        <v>#VALUE!</v>
      </c>
      <c r="O55" s="218" t="e">
        <f t="shared" si="21"/>
        <v>#VALUE!</v>
      </c>
      <c r="P55" s="218" t="e">
        <f t="shared" si="21"/>
        <v>#VALUE!</v>
      </c>
      <c r="Q55" s="218" t="e">
        <f t="shared" si="21"/>
        <v>#VALUE!</v>
      </c>
      <c r="R55" s="218" t="e">
        <f t="shared" si="21"/>
        <v>#VALUE!</v>
      </c>
      <c r="S55" s="218" t="e">
        <f t="shared" si="21"/>
        <v>#VALUE!</v>
      </c>
      <c r="T55" s="218" t="e">
        <f t="shared" si="21"/>
        <v>#VALUE!</v>
      </c>
      <c r="U55" s="218" t="e">
        <f t="shared" si="21"/>
        <v>#VALUE!</v>
      </c>
      <c r="V55" s="218" t="e">
        <f t="shared" si="21"/>
        <v>#VALUE!</v>
      </c>
      <c r="W55" s="348" t="e">
        <f>SUM(E55:V55)</f>
        <v>#VALUE!</v>
      </c>
      <c r="X55" s="391"/>
    </row>
    <row r="56" spans="1:24" ht="13.5" thickBot="1" x14ac:dyDescent="0.25">
      <c r="A56" s="219" t="s">
        <v>181</v>
      </c>
      <c r="B56" s="220"/>
      <c r="C56" s="221"/>
      <c r="D56" s="221"/>
      <c r="E56" s="222" t="e">
        <f>IF(E48&gt;E46+E54,E48-(E46+E54),"")</f>
        <v>#VALUE!</v>
      </c>
      <c r="F56" s="222" t="e">
        <f t="shared" ref="F56:V56" si="22">IF(F48&gt;F46+F54,F48-(F46+F54),"")</f>
        <v>#VALUE!</v>
      </c>
      <c r="G56" s="222" t="e">
        <f t="shared" si="22"/>
        <v>#VALUE!</v>
      </c>
      <c r="H56" s="222" t="e">
        <f t="shared" si="22"/>
        <v>#VALUE!</v>
      </c>
      <c r="I56" s="222" t="e">
        <f t="shared" si="22"/>
        <v>#VALUE!</v>
      </c>
      <c r="J56" s="222" t="e">
        <f t="shared" si="22"/>
        <v>#VALUE!</v>
      </c>
      <c r="K56" s="222" t="e">
        <f t="shared" si="22"/>
        <v>#VALUE!</v>
      </c>
      <c r="L56" s="222" t="e">
        <f t="shared" si="22"/>
        <v>#VALUE!</v>
      </c>
      <c r="M56" s="222" t="e">
        <f t="shared" si="22"/>
        <v>#VALUE!</v>
      </c>
      <c r="N56" s="222" t="e">
        <f t="shared" si="22"/>
        <v>#VALUE!</v>
      </c>
      <c r="O56" s="222" t="e">
        <f t="shared" si="22"/>
        <v>#VALUE!</v>
      </c>
      <c r="P56" s="222" t="e">
        <f t="shared" si="22"/>
        <v>#VALUE!</v>
      </c>
      <c r="Q56" s="222" t="e">
        <f t="shared" si="22"/>
        <v>#VALUE!</v>
      </c>
      <c r="R56" s="222" t="e">
        <f t="shared" si="22"/>
        <v>#VALUE!</v>
      </c>
      <c r="S56" s="222" t="e">
        <f t="shared" si="22"/>
        <v>#VALUE!</v>
      </c>
      <c r="T56" s="222" t="e">
        <f t="shared" si="22"/>
        <v>#VALUE!</v>
      </c>
      <c r="U56" s="222" t="e">
        <f t="shared" si="22"/>
        <v>#VALUE!</v>
      </c>
      <c r="V56" s="222" t="e">
        <f t="shared" si="22"/>
        <v>#VALUE!</v>
      </c>
      <c r="W56" s="40" t="e">
        <f>SUM(E56:V56)</f>
        <v>#VALUE!</v>
      </c>
      <c r="X56" s="37"/>
    </row>
    <row r="57" spans="1:24" x14ac:dyDescent="0.2">
      <c r="A57" s="11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8"/>
      <c r="R57" s="48"/>
      <c r="S57" s="48"/>
      <c r="T57" s="48"/>
      <c r="U57" s="48"/>
      <c r="V57" s="48"/>
      <c r="W57" s="48"/>
      <c r="X57" s="5"/>
    </row>
    <row r="58" spans="1:24" ht="13.5" thickBot="1" x14ac:dyDescent="0.25">
      <c r="A58" s="110" t="s">
        <v>88</v>
      </c>
      <c r="B58" s="14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8"/>
    </row>
    <row r="59" spans="1:24" x14ac:dyDescent="0.2">
      <c r="A59" s="33" t="s">
        <v>33</v>
      </c>
      <c r="B59" s="144"/>
      <c r="C59" s="88"/>
      <c r="D59" s="88"/>
      <c r="E59" s="89">
        <f t="shared" ref="E59:W59" si="23">E43</f>
        <v>0</v>
      </c>
      <c r="F59" s="89">
        <f t="shared" si="23"/>
        <v>0</v>
      </c>
      <c r="G59" s="89">
        <f t="shared" si="23"/>
        <v>0</v>
      </c>
      <c r="H59" s="89">
        <f t="shared" si="23"/>
        <v>0</v>
      </c>
      <c r="I59" s="89">
        <f t="shared" si="23"/>
        <v>0</v>
      </c>
      <c r="J59" s="89">
        <f t="shared" si="23"/>
        <v>0</v>
      </c>
      <c r="K59" s="89">
        <f t="shared" si="23"/>
        <v>0</v>
      </c>
      <c r="L59" s="89">
        <f t="shared" si="23"/>
        <v>0</v>
      </c>
      <c r="M59" s="89">
        <f t="shared" si="23"/>
        <v>0</v>
      </c>
      <c r="N59" s="89">
        <f t="shared" si="23"/>
        <v>0</v>
      </c>
      <c r="O59" s="89">
        <f t="shared" si="23"/>
        <v>0</v>
      </c>
      <c r="P59" s="89">
        <f t="shared" si="23"/>
        <v>0</v>
      </c>
      <c r="Q59" s="89">
        <f t="shared" si="23"/>
        <v>0</v>
      </c>
      <c r="R59" s="89">
        <f t="shared" si="23"/>
        <v>0</v>
      </c>
      <c r="S59" s="89">
        <f t="shared" si="23"/>
        <v>0</v>
      </c>
      <c r="T59" s="89">
        <f t="shared" si="23"/>
        <v>0</v>
      </c>
      <c r="U59" s="89">
        <f t="shared" si="23"/>
        <v>0</v>
      </c>
      <c r="V59" s="89">
        <f t="shared" si="23"/>
        <v>0</v>
      </c>
      <c r="W59" s="89" t="str">
        <f t="shared" si="23"/>
        <v>Total</v>
      </c>
      <c r="X59" s="90"/>
    </row>
    <row r="60" spans="1:24" x14ac:dyDescent="0.2">
      <c r="A60" s="34" t="s">
        <v>154</v>
      </c>
      <c r="B60" s="141"/>
      <c r="C60" s="31"/>
      <c r="D60" s="31"/>
      <c r="E60" s="39">
        <f t="shared" ref="E60:W60" si="24">E17</f>
        <v>0</v>
      </c>
      <c r="F60" s="39">
        <f t="shared" si="24"/>
        <v>0</v>
      </c>
      <c r="G60" s="39">
        <f t="shared" si="24"/>
        <v>0</v>
      </c>
      <c r="H60" s="39">
        <f t="shared" si="24"/>
        <v>0</v>
      </c>
      <c r="I60" s="39">
        <f t="shared" si="24"/>
        <v>0</v>
      </c>
      <c r="J60" s="39">
        <f t="shared" si="24"/>
        <v>0</v>
      </c>
      <c r="K60" s="39">
        <f t="shared" si="24"/>
        <v>0</v>
      </c>
      <c r="L60" s="39">
        <f t="shared" si="24"/>
        <v>0</v>
      </c>
      <c r="M60" s="39">
        <f t="shared" si="24"/>
        <v>0</v>
      </c>
      <c r="N60" s="39">
        <f t="shared" si="24"/>
        <v>0</v>
      </c>
      <c r="O60" s="39">
        <f t="shared" si="24"/>
        <v>0</v>
      </c>
      <c r="P60" s="39">
        <f t="shared" si="24"/>
        <v>0</v>
      </c>
      <c r="Q60" s="39">
        <f t="shared" si="24"/>
        <v>0</v>
      </c>
      <c r="R60" s="39">
        <f t="shared" si="24"/>
        <v>0</v>
      </c>
      <c r="S60" s="39">
        <f t="shared" si="24"/>
        <v>0</v>
      </c>
      <c r="T60" s="39">
        <f t="shared" si="24"/>
        <v>0</v>
      </c>
      <c r="U60" s="39">
        <f t="shared" si="24"/>
        <v>0</v>
      </c>
      <c r="V60" s="39">
        <f t="shared" si="24"/>
        <v>0</v>
      </c>
      <c r="W60" s="39">
        <f t="shared" si="24"/>
        <v>0</v>
      </c>
      <c r="X60" s="32"/>
    </row>
    <row r="61" spans="1:24" x14ac:dyDescent="0.2">
      <c r="A61" s="34" t="s">
        <v>155</v>
      </c>
      <c r="B61" s="141"/>
      <c r="C61" s="31"/>
      <c r="D61" s="31"/>
      <c r="E61" s="39">
        <f t="shared" ref="E61:T62" si="25">E45</f>
        <v>0</v>
      </c>
      <c r="F61" s="39">
        <f t="shared" si="25"/>
        <v>0</v>
      </c>
      <c r="G61" s="39">
        <f t="shared" si="25"/>
        <v>0</v>
      </c>
      <c r="H61" s="39">
        <f t="shared" si="25"/>
        <v>0</v>
      </c>
      <c r="I61" s="39">
        <f t="shared" si="25"/>
        <v>0</v>
      </c>
      <c r="J61" s="39">
        <f t="shared" si="25"/>
        <v>0</v>
      </c>
      <c r="K61" s="39">
        <f t="shared" si="25"/>
        <v>0</v>
      </c>
      <c r="L61" s="39">
        <f t="shared" si="25"/>
        <v>0</v>
      </c>
      <c r="M61" s="39">
        <f t="shared" si="25"/>
        <v>0</v>
      </c>
      <c r="N61" s="39">
        <f t="shared" si="25"/>
        <v>0</v>
      </c>
      <c r="O61" s="39">
        <f t="shared" si="25"/>
        <v>0</v>
      </c>
      <c r="P61" s="39">
        <f t="shared" si="25"/>
        <v>0</v>
      </c>
      <c r="Q61" s="39">
        <f t="shared" si="25"/>
        <v>0</v>
      </c>
      <c r="R61" s="39">
        <f t="shared" si="25"/>
        <v>0</v>
      </c>
      <c r="S61" s="39">
        <f t="shared" si="25"/>
        <v>0</v>
      </c>
      <c r="T61" s="39">
        <f t="shared" si="25"/>
        <v>0</v>
      </c>
      <c r="U61" s="39">
        <f>U45</f>
        <v>0</v>
      </c>
      <c r="V61" s="39">
        <f>V45</f>
        <v>0</v>
      </c>
      <c r="W61" s="39">
        <f>W45</f>
        <v>0</v>
      </c>
      <c r="X61" s="32"/>
    </row>
    <row r="62" spans="1:24" x14ac:dyDescent="0.2">
      <c r="A62" s="34" t="s">
        <v>162</v>
      </c>
      <c r="B62" s="141"/>
      <c r="C62" s="31"/>
      <c r="D62" s="31"/>
      <c r="E62" s="39">
        <f>E46</f>
        <v>0</v>
      </c>
      <c r="F62" s="39">
        <f t="shared" si="25"/>
        <v>0</v>
      </c>
      <c r="G62" s="39">
        <f t="shared" si="25"/>
        <v>0</v>
      </c>
      <c r="H62" s="39">
        <f t="shared" si="25"/>
        <v>0</v>
      </c>
      <c r="I62" s="39">
        <f t="shared" si="25"/>
        <v>0</v>
      </c>
      <c r="J62" s="39">
        <f t="shared" si="25"/>
        <v>0</v>
      </c>
      <c r="K62" s="39">
        <f t="shared" si="25"/>
        <v>0</v>
      </c>
      <c r="L62" s="39">
        <f t="shared" si="25"/>
        <v>0</v>
      </c>
      <c r="M62" s="39">
        <f t="shared" si="25"/>
        <v>0</v>
      </c>
      <c r="N62" s="39">
        <f t="shared" si="25"/>
        <v>0</v>
      </c>
      <c r="O62" s="39">
        <f t="shared" si="25"/>
        <v>0</v>
      </c>
      <c r="P62" s="39">
        <f t="shared" si="25"/>
        <v>0</v>
      </c>
      <c r="Q62" s="39">
        <f t="shared" si="25"/>
        <v>0</v>
      </c>
      <c r="R62" s="39">
        <f t="shared" si="25"/>
        <v>0</v>
      </c>
      <c r="S62" s="39">
        <f t="shared" si="25"/>
        <v>0</v>
      </c>
      <c r="T62" s="39">
        <f t="shared" si="25"/>
        <v>0</v>
      </c>
      <c r="U62" s="39">
        <f t="shared" ref="U62:W63" si="26">U46</f>
        <v>0</v>
      </c>
      <c r="V62" s="39">
        <f t="shared" si="26"/>
        <v>0</v>
      </c>
      <c r="W62" s="39">
        <f t="shared" si="26"/>
        <v>0</v>
      </c>
      <c r="X62" s="32"/>
    </row>
    <row r="63" spans="1:24" x14ac:dyDescent="0.2">
      <c r="A63" s="34" t="s">
        <v>182</v>
      </c>
      <c r="B63" s="141"/>
      <c r="C63" s="31"/>
      <c r="D63" s="31"/>
      <c r="E63" s="39" t="e">
        <f>+E62+E54</f>
        <v>#VALUE!</v>
      </c>
      <c r="F63" s="39" t="e">
        <f t="shared" ref="F63:V63" si="27">+F62+F54</f>
        <v>#VALUE!</v>
      </c>
      <c r="G63" s="39" t="e">
        <f t="shared" si="27"/>
        <v>#VALUE!</v>
      </c>
      <c r="H63" s="39" t="e">
        <f t="shared" si="27"/>
        <v>#VALUE!</v>
      </c>
      <c r="I63" s="39" t="e">
        <f t="shared" si="27"/>
        <v>#VALUE!</v>
      </c>
      <c r="J63" s="39" t="e">
        <f t="shared" si="27"/>
        <v>#VALUE!</v>
      </c>
      <c r="K63" s="39" t="e">
        <f t="shared" si="27"/>
        <v>#VALUE!</v>
      </c>
      <c r="L63" s="39" t="e">
        <f t="shared" si="27"/>
        <v>#VALUE!</v>
      </c>
      <c r="M63" s="39" t="e">
        <f t="shared" si="27"/>
        <v>#VALUE!</v>
      </c>
      <c r="N63" s="39" t="e">
        <f t="shared" si="27"/>
        <v>#VALUE!</v>
      </c>
      <c r="O63" s="39" t="e">
        <f t="shared" si="27"/>
        <v>#VALUE!</v>
      </c>
      <c r="P63" s="39" t="e">
        <f t="shared" si="27"/>
        <v>#VALUE!</v>
      </c>
      <c r="Q63" s="39" t="e">
        <f t="shared" si="27"/>
        <v>#VALUE!</v>
      </c>
      <c r="R63" s="39" t="e">
        <f t="shared" si="27"/>
        <v>#VALUE!</v>
      </c>
      <c r="S63" s="39" t="e">
        <f t="shared" si="27"/>
        <v>#VALUE!</v>
      </c>
      <c r="T63" s="39" t="e">
        <f t="shared" si="27"/>
        <v>#VALUE!</v>
      </c>
      <c r="U63" s="39" t="e">
        <f t="shared" si="27"/>
        <v>#VALUE!</v>
      </c>
      <c r="V63" s="39" t="e">
        <f t="shared" si="27"/>
        <v>#VALUE!</v>
      </c>
      <c r="W63" s="39">
        <f t="shared" si="26"/>
        <v>0</v>
      </c>
      <c r="X63" s="32"/>
    </row>
    <row r="64" spans="1:24" x14ac:dyDescent="0.2">
      <c r="A64" s="34" t="s">
        <v>157</v>
      </c>
      <c r="B64" s="141"/>
      <c r="C64" s="31"/>
      <c r="D64" s="31"/>
      <c r="E64" s="39">
        <f t="shared" ref="E64:W65" si="28">E47</f>
        <v>0</v>
      </c>
      <c r="F64" s="39">
        <f t="shared" si="28"/>
        <v>0</v>
      </c>
      <c r="G64" s="39">
        <f t="shared" si="28"/>
        <v>0</v>
      </c>
      <c r="H64" s="39">
        <f t="shared" si="28"/>
        <v>0</v>
      </c>
      <c r="I64" s="39">
        <f t="shared" si="28"/>
        <v>0</v>
      </c>
      <c r="J64" s="39">
        <f t="shared" si="28"/>
        <v>0</v>
      </c>
      <c r="K64" s="39">
        <f t="shared" si="28"/>
        <v>0</v>
      </c>
      <c r="L64" s="39">
        <f t="shared" si="28"/>
        <v>0</v>
      </c>
      <c r="M64" s="39">
        <f t="shared" si="28"/>
        <v>0</v>
      </c>
      <c r="N64" s="39">
        <f t="shared" si="28"/>
        <v>0</v>
      </c>
      <c r="O64" s="39">
        <f t="shared" si="28"/>
        <v>0</v>
      </c>
      <c r="P64" s="39">
        <f t="shared" si="28"/>
        <v>0</v>
      </c>
      <c r="Q64" s="39">
        <f t="shared" si="28"/>
        <v>0</v>
      </c>
      <c r="R64" s="39">
        <f t="shared" si="28"/>
        <v>0</v>
      </c>
      <c r="S64" s="39">
        <f t="shared" si="28"/>
        <v>0</v>
      </c>
      <c r="T64" s="39">
        <f t="shared" si="28"/>
        <v>0</v>
      </c>
      <c r="U64" s="39">
        <f t="shared" si="28"/>
        <v>0</v>
      </c>
      <c r="V64" s="39">
        <f t="shared" si="28"/>
        <v>0</v>
      </c>
      <c r="W64" s="39">
        <f t="shared" si="28"/>
        <v>0</v>
      </c>
      <c r="X64" s="32"/>
    </row>
    <row r="65" spans="1:24" ht="13.5" thickBot="1" x14ac:dyDescent="0.25">
      <c r="A65" s="35" t="s">
        <v>158</v>
      </c>
      <c r="B65" s="145"/>
      <c r="C65" s="36"/>
      <c r="D65" s="36"/>
      <c r="E65" s="40">
        <f>E48</f>
        <v>0</v>
      </c>
      <c r="F65" s="40">
        <f t="shared" si="28"/>
        <v>0</v>
      </c>
      <c r="G65" s="40">
        <f t="shared" si="28"/>
        <v>0</v>
      </c>
      <c r="H65" s="40">
        <f t="shared" si="28"/>
        <v>0</v>
      </c>
      <c r="I65" s="40">
        <f t="shared" si="28"/>
        <v>0</v>
      </c>
      <c r="J65" s="40">
        <f t="shared" si="28"/>
        <v>0</v>
      </c>
      <c r="K65" s="40">
        <f t="shared" si="28"/>
        <v>0</v>
      </c>
      <c r="L65" s="40">
        <f t="shared" si="28"/>
        <v>0</v>
      </c>
      <c r="M65" s="40">
        <f t="shared" si="28"/>
        <v>0</v>
      </c>
      <c r="N65" s="40">
        <f t="shared" si="28"/>
        <v>0</v>
      </c>
      <c r="O65" s="40">
        <f t="shared" si="28"/>
        <v>0</v>
      </c>
      <c r="P65" s="40">
        <f t="shared" si="28"/>
        <v>0</v>
      </c>
      <c r="Q65" s="40">
        <f t="shared" si="28"/>
        <v>0</v>
      </c>
      <c r="R65" s="40">
        <f t="shared" si="28"/>
        <v>0</v>
      </c>
      <c r="S65" s="40">
        <f t="shared" si="28"/>
        <v>0</v>
      </c>
      <c r="T65" s="40">
        <f t="shared" si="28"/>
        <v>0</v>
      </c>
      <c r="U65" s="40">
        <f t="shared" si="28"/>
        <v>0</v>
      </c>
      <c r="V65" s="40">
        <f t="shared" si="28"/>
        <v>0</v>
      </c>
      <c r="W65" s="40">
        <f t="shared" si="28"/>
        <v>0</v>
      </c>
      <c r="X65" s="37"/>
    </row>
    <row r="66" spans="1:24" x14ac:dyDescent="0.2">
      <c r="A66" s="9"/>
      <c r="X66" s="10"/>
    </row>
    <row r="67" spans="1:24" x14ac:dyDescent="0.2">
      <c r="A67" s="9"/>
      <c r="X67" s="10"/>
    </row>
    <row r="68" spans="1:24" x14ac:dyDescent="0.2">
      <c r="A68" s="9"/>
      <c r="X68" s="10"/>
    </row>
    <row r="69" spans="1:24" x14ac:dyDescent="0.2">
      <c r="A69" s="9"/>
      <c r="X69" s="10"/>
    </row>
    <row r="70" spans="1:24" x14ac:dyDescent="0.2">
      <c r="A70" s="9"/>
      <c r="X70" s="10"/>
    </row>
    <row r="71" spans="1:24" x14ac:dyDescent="0.2">
      <c r="A71" s="9"/>
      <c r="X71" s="10"/>
    </row>
    <row r="72" spans="1:24" x14ac:dyDescent="0.2">
      <c r="A72" s="9"/>
      <c r="X72" s="10"/>
    </row>
    <row r="73" spans="1:24" x14ac:dyDescent="0.2">
      <c r="A73" s="9"/>
      <c r="X73" s="10"/>
    </row>
    <row r="74" spans="1:24" x14ac:dyDescent="0.2">
      <c r="A74" s="9"/>
      <c r="X74" s="10"/>
    </row>
    <row r="75" spans="1:24" x14ac:dyDescent="0.2">
      <c r="A75" s="9"/>
      <c r="X75" s="10"/>
    </row>
    <row r="76" spans="1:24" x14ac:dyDescent="0.2">
      <c r="A76" s="9"/>
      <c r="X76" s="10"/>
    </row>
    <row r="77" spans="1:24" x14ac:dyDescent="0.2">
      <c r="A77" s="9"/>
      <c r="X77" s="10"/>
    </row>
    <row r="78" spans="1:24" x14ac:dyDescent="0.2">
      <c r="A78" s="9"/>
      <c r="X78" s="10"/>
    </row>
    <row r="79" spans="1:24" x14ac:dyDescent="0.2">
      <c r="A79" s="9"/>
      <c r="X79" s="10"/>
    </row>
    <row r="80" spans="1:24" x14ac:dyDescent="0.2">
      <c r="A80" s="9"/>
      <c r="X80" s="10"/>
    </row>
    <row r="81" spans="1:24" x14ac:dyDescent="0.2">
      <c r="A81" s="9"/>
      <c r="X81" s="10"/>
    </row>
    <row r="82" spans="1:24" x14ac:dyDescent="0.2">
      <c r="A82" s="9"/>
      <c r="X82" s="10"/>
    </row>
    <row r="83" spans="1:24" x14ac:dyDescent="0.2">
      <c r="A83" s="9"/>
      <c r="X83" s="10"/>
    </row>
    <row r="84" spans="1:24" x14ac:dyDescent="0.2">
      <c r="A84" s="9"/>
      <c r="X84" s="10"/>
    </row>
    <row r="85" spans="1:24" x14ac:dyDescent="0.2">
      <c r="A85" s="9"/>
      <c r="X85" s="10"/>
    </row>
    <row r="86" spans="1:24" x14ac:dyDescent="0.2">
      <c r="A86" s="9"/>
      <c r="X86" s="10"/>
    </row>
    <row r="87" spans="1:24" x14ac:dyDescent="0.2">
      <c r="A87" s="9"/>
      <c r="X87" s="10"/>
    </row>
    <row r="88" spans="1:24" x14ac:dyDescent="0.2">
      <c r="A88" s="9"/>
      <c r="X88" s="10"/>
    </row>
    <row r="89" spans="1:24" x14ac:dyDescent="0.2">
      <c r="A89" s="9"/>
      <c r="X89" s="10"/>
    </row>
    <row r="90" spans="1:24" x14ac:dyDescent="0.2">
      <c r="A90" s="9"/>
      <c r="X90" s="10"/>
    </row>
    <row r="91" spans="1:24" x14ac:dyDescent="0.2">
      <c r="A91" s="9"/>
      <c r="X91" s="10"/>
    </row>
    <row r="92" spans="1:24" x14ac:dyDescent="0.2">
      <c r="A92" s="9"/>
      <c r="X92" s="10"/>
    </row>
    <row r="93" spans="1:24" x14ac:dyDescent="0.2">
      <c r="A93" s="9"/>
      <c r="X93" s="10"/>
    </row>
    <row r="94" spans="1:24" x14ac:dyDescent="0.2">
      <c r="A94" s="9"/>
      <c r="X94" s="10"/>
    </row>
    <row r="95" spans="1:24" x14ac:dyDescent="0.2">
      <c r="A95" s="9"/>
      <c r="X95" s="10"/>
    </row>
    <row r="96" spans="1:24" x14ac:dyDescent="0.2">
      <c r="A96" s="9"/>
      <c r="X96" s="10"/>
    </row>
    <row r="97" spans="1:24" x14ac:dyDescent="0.2">
      <c r="A97" s="9"/>
      <c r="X97" s="10"/>
    </row>
    <row r="98" spans="1:24" x14ac:dyDescent="0.2">
      <c r="A98" s="9"/>
      <c r="X98" s="10"/>
    </row>
    <row r="99" spans="1:24" x14ac:dyDescent="0.2">
      <c r="A99" s="9"/>
      <c r="X99" s="10"/>
    </row>
    <row r="100" spans="1:24" x14ac:dyDescent="0.2">
      <c r="A100" s="9"/>
      <c r="X100" s="10"/>
    </row>
    <row r="101" spans="1:24" x14ac:dyDescent="0.2">
      <c r="A101" s="9"/>
      <c r="X101" s="10"/>
    </row>
    <row r="102" spans="1:24" x14ac:dyDescent="0.2">
      <c r="A102" s="9"/>
      <c r="X102" s="10"/>
    </row>
    <row r="103" spans="1:24" x14ac:dyDescent="0.2">
      <c r="A103" s="9"/>
      <c r="X103" s="10"/>
    </row>
    <row r="104" spans="1:24" x14ac:dyDescent="0.2">
      <c r="A104" s="9"/>
      <c r="X104" s="10"/>
    </row>
    <row r="105" spans="1:24" x14ac:dyDescent="0.2">
      <c r="A105" s="9"/>
      <c r="X105" s="10"/>
    </row>
    <row r="106" spans="1:24" x14ac:dyDescent="0.2">
      <c r="A106" s="9"/>
      <c r="X106" s="10"/>
    </row>
    <row r="107" spans="1:24" x14ac:dyDescent="0.2">
      <c r="A107" s="9"/>
      <c r="X107" s="10"/>
    </row>
    <row r="108" spans="1:24" x14ac:dyDescent="0.2">
      <c r="A108" s="9"/>
      <c r="X108" s="10"/>
    </row>
    <row r="109" spans="1:24" ht="13.5" thickBot="1" x14ac:dyDescent="0.25">
      <c r="A109" s="16"/>
      <c r="B109" s="146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8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3"/>
  <sheetViews>
    <sheetView showZeros="0" zoomScaleNormal="100" zoomScaleSheetLayoutView="100" workbookViewId="0">
      <selection activeCell="V20" sqref="V20"/>
    </sheetView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4.2851562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41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79"/>
      <c r="D4" s="79"/>
      <c r="E4" s="134" t="s">
        <v>89</v>
      </c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393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>
        <v>0</v>
      </c>
      <c r="B11" s="320"/>
      <c r="C11" s="320"/>
      <c r="D11" s="320"/>
      <c r="E11" s="321"/>
      <c r="F11" s="321"/>
      <c r="G11" s="330"/>
      <c r="H11" s="328"/>
      <c r="I11" s="29"/>
      <c r="J11" s="29"/>
      <c r="K11" s="324">
        <v>0</v>
      </c>
      <c r="L11" s="326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7" t="s">
        <v>205</v>
      </c>
      <c r="M12" s="325" t="s">
        <v>206</v>
      </c>
      <c r="N12" s="286" t="s">
        <v>222</v>
      </c>
    </row>
    <row r="13" spans="1:14" ht="13.5" customHeight="1" x14ac:dyDescent="0.2">
      <c r="A13" s="302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5" t="s">
        <v>189</v>
      </c>
      <c r="L13" s="283">
        <v>0</v>
      </c>
      <c r="M13" s="283"/>
      <c r="N13" s="274" t="str">
        <f>K13</f>
        <v>&lt;&lt;sum&gt;&gt;</v>
      </c>
    </row>
    <row r="14" spans="1:14" ht="12.75" customHeight="1" x14ac:dyDescent="0.2">
      <c r="A14" s="305"/>
    </row>
    <row r="15" spans="1:14" ht="12.75" customHeight="1" x14ac:dyDescent="0.2">
      <c r="A15" s="306"/>
    </row>
    <row r="16" spans="1:14" ht="12.75" customHeight="1" x14ac:dyDescent="0.2">
      <c r="A16" s="243" t="s">
        <v>230</v>
      </c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</row>
    <row r="17" spans="1:13" ht="12.75" customHeight="1" x14ac:dyDescent="0.2">
      <c r="A17" s="304" t="s">
        <v>229</v>
      </c>
      <c r="B17" s="240"/>
      <c r="C17" s="240"/>
      <c r="D17" s="240"/>
      <c r="E17" s="241"/>
      <c r="F17" s="241"/>
      <c r="G17" s="287" t="s">
        <v>204</v>
      </c>
      <c r="H17" s="335"/>
      <c r="I17" s="337" t="s">
        <v>185</v>
      </c>
      <c r="J17" s="336"/>
      <c r="K17" s="217"/>
      <c r="L17" s="217"/>
      <c r="M17" s="242"/>
    </row>
    <row r="18" spans="1:13" ht="12.75" customHeight="1" x14ac:dyDescent="0.2">
      <c r="A18" s="305"/>
      <c r="B18" s="238"/>
      <c r="C18" s="238"/>
      <c r="D18" s="238"/>
      <c r="E18" s="239"/>
      <c r="F18" s="239"/>
      <c r="G18" s="238"/>
      <c r="H18" s="31"/>
      <c r="I18" s="31"/>
      <c r="J18" s="31"/>
      <c r="K18" s="31"/>
      <c r="L18" s="31"/>
      <c r="M18" s="31"/>
    </row>
    <row r="19" spans="1:13" ht="12.75" customHeight="1" x14ac:dyDescent="0.2">
      <c r="A19" s="306"/>
    </row>
    <row r="20" spans="1:13" ht="12.75" customHeight="1" x14ac:dyDescent="0.2">
      <c r="A20" s="243" t="s">
        <v>208</v>
      </c>
    </row>
    <row r="21" spans="1:13" ht="12.75" customHeight="1" x14ac:dyDescent="0.2">
      <c r="A21" s="304" t="s">
        <v>229</v>
      </c>
      <c r="B21" s="240"/>
      <c r="C21" s="240"/>
      <c r="D21" s="240"/>
      <c r="E21" s="289" t="s">
        <v>209</v>
      </c>
      <c r="F21" s="289"/>
      <c r="G21" s="287" t="s">
        <v>204</v>
      </c>
      <c r="H21" s="335"/>
      <c r="I21" s="337" t="s">
        <v>185</v>
      </c>
      <c r="J21" s="338"/>
      <c r="K21" s="288" t="s">
        <v>205</v>
      </c>
      <c r="L21" s="288" t="s">
        <v>206</v>
      </c>
      <c r="M21" s="242"/>
    </row>
    <row r="22" spans="1:13" ht="12.75" customHeight="1" x14ac:dyDescent="0.2">
      <c r="A22" s="238"/>
      <c r="B22" s="238"/>
      <c r="C22" s="238"/>
      <c r="D22" s="238"/>
      <c r="E22" s="239"/>
      <c r="F22" s="239"/>
      <c r="G22" s="238"/>
      <c r="H22" s="31"/>
      <c r="I22" s="31"/>
      <c r="J22" s="31"/>
      <c r="K22" s="31"/>
      <c r="L22" s="31"/>
      <c r="M22" s="31"/>
    </row>
    <row r="23" spans="1:13" ht="12.75" customHeight="1" x14ac:dyDescent="0.2"/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rowBreaks count="1" manualBreakCount="1">
    <brk id="13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N13"/>
  <sheetViews>
    <sheetView showZeros="0" tabSelected="1" zoomScaleNormal="100" zoomScaleSheetLayoutView="100" workbookViewId="0"/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1.8554687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95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207" t="s">
        <v>166</v>
      </c>
      <c r="D4" s="207"/>
      <c r="E4" s="134"/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236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/>
      <c r="B11" s="320"/>
      <c r="C11" s="320"/>
      <c r="D11" s="320"/>
      <c r="E11" s="321"/>
      <c r="F11" s="321"/>
      <c r="G11" s="320"/>
      <c r="H11" s="328"/>
      <c r="I11" s="29"/>
      <c r="J11" s="339"/>
      <c r="K11" s="324">
        <v>0</v>
      </c>
      <c r="L11" s="324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5" t="s">
        <v>205</v>
      </c>
      <c r="M12" s="325" t="s">
        <v>206</v>
      </c>
      <c r="N12" s="286" t="s">
        <v>222</v>
      </c>
    </row>
    <row r="13" spans="1:14" ht="13.5" customHeight="1" x14ac:dyDescent="0.2">
      <c r="A13" s="280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6" t="s">
        <v>189</v>
      </c>
      <c r="L13" s="283">
        <v>0</v>
      </c>
      <c r="M13" s="283">
        <v>0</v>
      </c>
      <c r="N13" s="277" t="str">
        <f>K13</f>
        <v>&lt;&lt;sum&gt;&gt;</v>
      </c>
    </row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11"/>
  <dimension ref="A1:N13"/>
  <sheetViews>
    <sheetView showZeros="0" zoomScaleNormal="100" zoomScaleSheetLayoutView="100" workbookViewId="0"/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2.14062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96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207" t="s">
        <v>165</v>
      </c>
      <c r="D4" s="207"/>
      <c r="E4" s="134"/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236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/>
      <c r="B11" s="320"/>
      <c r="C11" s="320"/>
      <c r="D11" s="320"/>
      <c r="E11" s="321"/>
      <c r="F11" s="321"/>
      <c r="G11" s="320"/>
      <c r="H11" s="328"/>
      <c r="I11" s="29"/>
      <c r="J11" s="339"/>
      <c r="K11" s="324">
        <v>0</v>
      </c>
      <c r="L11" s="324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5" t="s">
        <v>205</v>
      </c>
      <c r="M12" s="325" t="s">
        <v>206</v>
      </c>
      <c r="N12" s="286" t="s">
        <v>222</v>
      </c>
    </row>
    <row r="13" spans="1:14" ht="13.5" customHeight="1" x14ac:dyDescent="0.2">
      <c r="A13" s="280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9" t="s">
        <v>189</v>
      </c>
      <c r="L13" s="283">
        <v>0</v>
      </c>
      <c r="M13" s="283">
        <v>0</v>
      </c>
      <c r="N13" s="277" t="str">
        <f>K13</f>
        <v>&lt;&lt;sum&gt;&gt;</v>
      </c>
    </row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1:AE23"/>
  <sheetViews>
    <sheetView showZeros="0" topLeftCell="B1" zoomScaleNormal="100" zoomScaleSheetLayoutView="100" workbookViewId="0">
      <selection activeCell="B1" sqref="B1"/>
    </sheetView>
  </sheetViews>
  <sheetFormatPr defaultRowHeight="12.75" x14ac:dyDescent="0.2"/>
  <cols>
    <col min="1" max="1" width="0.85546875" customWidth="1"/>
    <col min="2" max="2" width="8.85546875" style="172" customWidth="1"/>
    <col min="3" max="3" width="7.85546875" style="56" customWidth="1"/>
    <col min="4" max="4" width="25.85546875" style="56" customWidth="1"/>
    <col min="5" max="27" width="9.85546875" customWidth="1"/>
    <col min="28" max="28" width="1.85546875" customWidth="1"/>
    <col min="29" max="29" width="8.85546875" hidden="1" customWidth="1"/>
    <col min="30" max="30" width="5" hidden="1" customWidth="1"/>
  </cols>
  <sheetData>
    <row r="1" spans="2:31" ht="30" customHeight="1" x14ac:dyDescent="0.25">
      <c r="B1" s="163"/>
      <c r="C1" s="53"/>
      <c r="D1" s="5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0" t="s">
        <v>40</v>
      </c>
      <c r="Y1" s="4"/>
      <c r="Z1" s="23" t="s">
        <v>33</v>
      </c>
      <c r="AA1" s="46" t="s">
        <v>51</v>
      </c>
      <c r="AB1" s="5"/>
    </row>
    <row r="2" spans="2:31" ht="30" customHeight="1" x14ac:dyDescent="0.4">
      <c r="B2" s="164" t="s">
        <v>172</v>
      </c>
      <c r="C2" s="6"/>
      <c r="D2" s="6"/>
      <c r="E2" s="6"/>
      <c r="F2" s="6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51" t="s">
        <v>42</v>
      </c>
      <c r="Z2" s="57" t="s">
        <v>52</v>
      </c>
      <c r="AA2" s="52">
        <f>CHA1E!V2</f>
        <v>0</v>
      </c>
      <c r="AB2" s="8"/>
      <c r="AC2" s="45" t="s">
        <v>33</v>
      </c>
      <c r="AD2" s="45" t="s">
        <v>33</v>
      </c>
      <c r="AE2" s="45" t="s">
        <v>33</v>
      </c>
    </row>
    <row r="3" spans="2:31" ht="30" customHeight="1" x14ac:dyDescent="0.25">
      <c r="B3" s="165"/>
      <c r="C3" s="54"/>
      <c r="D3" s="5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1" t="s">
        <v>43</v>
      </c>
      <c r="Y3" s="2"/>
      <c r="Z3" s="25" t="s">
        <v>33</v>
      </c>
      <c r="AA3" s="52" t="str">
        <f>CHA1E!V3</f>
        <v xml:space="preserve"> </v>
      </c>
      <c r="AB3" s="10"/>
    </row>
    <row r="4" spans="2:31" ht="22.5" x14ac:dyDescent="0.3">
      <c r="B4" s="399" t="s">
        <v>93</v>
      </c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0"/>
      <c r="S4" s="400"/>
      <c r="T4" s="400"/>
      <c r="U4" s="400"/>
      <c r="V4" s="400"/>
      <c r="W4" s="400"/>
      <c r="X4" s="400"/>
      <c r="Y4" s="400"/>
      <c r="Z4" s="400"/>
      <c r="AA4" s="400"/>
      <c r="AB4" s="401"/>
    </row>
    <row r="5" spans="2:31" ht="14.25" x14ac:dyDescent="0.2">
      <c r="B5" s="165"/>
      <c r="C5" s="54"/>
      <c r="D5" s="5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5" t="s">
        <v>167</v>
      </c>
      <c r="Y5" s="2"/>
      <c r="Z5" s="2"/>
      <c r="AA5" s="52">
        <f>CHA1E!V4</f>
        <v>0</v>
      </c>
      <c r="AB5" s="10"/>
    </row>
    <row r="6" spans="2:31" x14ac:dyDescent="0.2">
      <c r="B6" s="166" t="s">
        <v>85</v>
      </c>
      <c r="C6" s="54"/>
      <c r="D6" s="237" t="str">
        <f>CHA1E!E6</f>
        <v xml:space="preserve"> </v>
      </c>
      <c r="E6" s="84"/>
      <c r="G6" s="2"/>
      <c r="H6" s="2"/>
      <c r="I6" s="2"/>
      <c r="K6" s="2"/>
      <c r="U6" s="11"/>
      <c r="V6" s="11" t="s">
        <v>86</v>
      </c>
      <c r="W6" s="43"/>
      <c r="X6" s="84" t="str">
        <f>CHA1E!R6</f>
        <v xml:space="preserve"> </v>
      </c>
      <c r="Z6" s="11"/>
      <c r="AA6" s="2"/>
      <c r="AB6" s="10"/>
    </row>
    <row r="7" spans="2:31" x14ac:dyDescent="0.2">
      <c r="B7" s="166" t="s">
        <v>33</v>
      </c>
      <c r="C7" s="54"/>
      <c r="D7" s="54"/>
      <c r="E7" s="84" t="s">
        <v>33</v>
      </c>
      <c r="G7" s="2"/>
      <c r="H7" s="2"/>
      <c r="I7" s="2"/>
      <c r="K7" s="2"/>
      <c r="L7" s="2"/>
      <c r="M7" s="2"/>
      <c r="N7" s="2"/>
      <c r="O7" s="2"/>
      <c r="P7" s="2"/>
      <c r="Q7" s="2"/>
      <c r="R7" s="2"/>
      <c r="S7" s="2"/>
      <c r="T7" s="2"/>
      <c r="U7" s="11"/>
      <c r="V7" s="11" t="s">
        <v>87</v>
      </c>
      <c r="W7" s="43"/>
      <c r="X7" s="84" t="str">
        <f>CHA1E!R7</f>
        <v xml:space="preserve"> </v>
      </c>
      <c r="Y7" s="2"/>
      <c r="Z7" s="2"/>
      <c r="AA7" s="2"/>
      <c r="AB7" s="10"/>
    </row>
    <row r="8" spans="2:31" x14ac:dyDescent="0.2">
      <c r="B8" s="167"/>
      <c r="C8" s="55"/>
      <c r="D8" s="55"/>
      <c r="E8" s="2"/>
      <c r="F8" s="2"/>
      <c r="G8" s="2"/>
      <c r="H8" s="2"/>
      <c r="I8" s="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2"/>
      <c r="AB8" s="10"/>
    </row>
    <row r="9" spans="2:31" x14ac:dyDescent="0.2">
      <c r="B9" s="168"/>
      <c r="C9" s="92"/>
      <c r="D9" s="92"/>
      <c r="E9" s="93" t="s">
        <v>53</v>
      </c>
      <c r="F9" s="93"/>
      <c r="G9" s="94" t="s">
        <v>52</v>
      </c>
      <c r="H9" s="93"/>
      <c r="I9" s="93" t="s">
        <v>54</v>
      </c>
      <c r="J9" s="93"/>
      <c r="K9" s="93"/>
      <c r="L9" s="87" t="s">
        <v>33</v>
      </c>
      <c r="M9" s="93"/>
      <c r="N9" s="93" t="s">
        <v>55</v>
      </c>
      <c r="O9" s="93"/>
      <c r="P9" s="93"/>
      <c r="Q9" s="93"/>
      <c r="R9" s="93"/>
      <c r="S9" s="93"/>
      <c r="T9" s="93"/>
      <c r="U9" s="93"/>
      <c r="V9" s="93"/>
      <c r="W9" s="93"/>
      <c r="X9" s="93"/>
      <c r="Y9" s="95"/>
      <c r="Z9" s="93" t="s">
        <v>33</v>
      </c>
      <c r="AA9" s="94" t="s">
        <v>52</v>
      </c>
      <c r="AB9" s="96"/>
    </row>
    <row r="10" spans="2:31" x14ac:dyDescent="0.2">
      <c r="B10" s="169" t="s">
        <v>56</v>
      </c>
      <c r="C10" s="97" t="s">
        <v>135</v>
      </c>
      <c r="D10" s="97" t="s">
        <v>57</v>
      </c>
      <c r="E10" s="98" t="s">
        <v>33</v>
      </c>
      <c r="F10" s="98"/>
      <c r="G10" s="99" t="s">
        <v>58</v>
      </c>
      <c r="H10" s="99"/>
      <c r="I10" s="98" t="s">
        <v>33</v>
      </c>
      <c r="J10" s="100" t="s">
        <v>33</v>
      </c>
      <c r="K10" s="100" t="s">
        <v>33</v>
      </c>
      <c r="L10" s="99" t="s">
        <v>59</v>
      </c>
      <c r="M10" s="101" t="s">
        <v>82</v>
      </c>
      <c r="N10" s="102" t="s">
        <v>33</v>
      </c>
      <c r="O10" s="102" t="s">
        <v>33</v>
      </c>
      <c r="P10" s="102" t="s">
        <v>33</v>
      </c>
      <c r="Q10" s="102" t="s">
        <v>33</v>
      </c>
      <c r="R10" s="102" t="s">
        <v>33</v>
      </c>
      <c r="S10" s="102" t="s">
        <v>33</v>
      </c>
      <c r="T10" s="102" t="s">
        <v>33</v>
      </c>
      <c r="U10" s="102" t="s">
        <v>33</v>
      </c>
      <c r="V10" s="102" t="s">
        <v>33</v>
      </c>
      <c r="W10" s="102" t="s">
        <v>33</v>
      </c>
      <c r="X10" s="102" t="s">
        <v>33</v>
      </c>
      <c r="Y10" s="102" t="s">
        <v>33</v>
      </c>
      <c r="Z10" s="101" t="s">
        <v>60</v>
      </c>
      <c r="AA10" s="101" t="s">
        <v>61</v>
      </c>
      <c r="AB10" s="103"/>
    </row>
    <row r="11" spans="2:31" x14ac:dyDescent="0.2">
      <c r="B11" s="169" t="s">
        <v>50</v>
      </c>
      <c r="C11" s="97"/>
      <c r="D11" s="97" t="s">
        <v>62</v>
      </c>
      <c r="E11" s="99" t="s">
        <v>63</v>
      </c>
      <c r="F11" s="99" t="s">
        <v>64</v>
      </c>
      <c r="G11" s="99" t="s">
        <v>65</v>
      </c>
      <c r="H11" s="99" t="s">
        <v>66</v>
      </c>
      <c r="I11" s="99" t="s">
        <v>67</v>
      </c>
      <c r="J11" s="101" t="s">
        <v>68</v>
      </c>
      <c r="K11" s="101" t="s">
        <v>35</v>
      </c>
      <c r="L11" s="99" t="s">
        <v>69</v>
      </c>
      <c r="M11" s="101" t="s">
        <v>83</v>
      </c>
      <c r="N11" s="266" t="s">
        <v>190</v>
      </c>
      <c r="O11" s="266" t="s">
        <v>191</v>
      </c>
      <c r="P11" s="266" t="s">
        <v>192</v>
      </c>
      <c r="Q11" s="266" t="s">
        <v>193</v>
      </c>
      <c r="R11" s="266" t="s">
        <v>194</v>
      </c>
      <c r="S11" s="266" t="s">
        <v>195</v>
      </c>
      <c r="T11" s="266" t="s">
        <v>196</v>
      </c>
      <c r="U11" s="266" t="s">
        <v>197</v>
      </c>
      <c r="V11" s="266" t="s">
        <v>198</v>
      </c>
      <c r="W11" s="266" t="s">
        <v>199</v>
      </c>
      <c r="X11" s="266" t="s">
        <v>200</v>
      </c>
      <c r="Y11" s="266" t="s">
        <v>201</v>
      </c>
      <c r="Z11" s="101" t="s">
        <v>70</v>
      </c>
      <c r="AA11" s="104" t="s">
        <v>70</v>
      </c>
      <c r="AB11" s="103"/>
    </row>
    <row r="12" spans="2:31" ht="14.25" customHeight="1" x14ac:dyDescent="0.2">
      <c r="B12" s="170" t="s">
        <v>33</v>
      </c>
      <c r="C12" s="105"/>
      <c r="D12" s="105"/>
      <c r="E12" s="105" t="s">
        <v>33</v>
      </c>
      <c r="F12" s="106" t="s">
        <v>71</v>
      </c>
      <c r="G12" s="106" t="s">
        <v>72</v>
      </c>
      <c r="H12" s="106" t="s">
        <v>73</v>
      </c>
      <c r="I12" s="106" t="s">
        <v>33</v>
      </c>
      <c r="J12" s="107" t="s">
        <v>33</v>
      </c>
      <c r="K12" s="106" t="s">
        <v>74</v>
      </c>
      <c r="L12" s="108" t="s">
        <v>75</v>
      </c>
      <c r="M12" s="108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9"/>
      <c r="Z12" s="106" t="s">
        <v>76</v>
      </c>
      <c r="AA12" s="106" t="s">
        <v>77</v>
      </c>
      <c r="AB12" s="308"/>
    </row>
    <row r="13" spans="2:31" ht="14.25" customHeight="1" x14ac:dyDescent="0.2">
      <c r="B13" s="316"/>
      <c r="C13" s="97"/>
      <c r="D13" s="314"/>
      <c r="E13" s="314"/>
      <c r="F13" s="311"/>
      <c r="G13" s="311"/>
      <c r="H13" s="311"/>
      <c r="I13" s="311"/>
      <c r="J13" s="312"/>
      <c r="K13" s="311"/>
      <c r="L13" s="313"/>
      <c r="M13" s="313"/>
      <c r="N13" s="311"/>
      <c r="O13" s="311"/>
      <c r="P13" s="101"/>
      <c r="Q13" s="101"/>
      <c r="R13" s="101"/>
      <c r="S13" s="101"/>
      <c r="T13" s="101"/>
      <c r="U13" s="101"/>
      <c r="V13" s="101"/>
      <c r="W13" s="101"/>
      <c r="X13" s="101"/>
      <c r="Y13" s="310"/>
      <c r="Z13" s="101"/>
      <c r="AA13" s="317"/>
      <c r="AB13" s="318"/>
    </row>
    <row r="14" spans="2:31" s="173" customFormat="1" ht="21" customHeight="1" x14ac:dyDescent="0.2">
      <c r="B14" s="273" t="s">
        <v>218</v>
      </c>
      <c r="C14" s="273" t="s">
        <v>221</v>
      </c>
      <c r="D14" s="255" t="s">
        <v>183</v>
      </c>
      <c r="E14" s="245" t="s">
        <v>184</v>
      </c>
      <c r="F14" s="246" t="s">
        <v>185</v>
      </c>
      <c r="G14" s="247" t="s">
        <v>211</v>
      </c>
      <c r="H14" s="247" t="s">
        <v>210</v>
      </c>
      <c r="I14" s="174" t="e">
        <f>M14+N14</f>
        <v>#VALUE!</v>
      </c>
      <c r="J14" s="174" t="e">
        <f>I14-H14</f>
        <v>#VALUE!</v>
      </c>
      <c r="K14" s="247" t="s">
        <v>212</v>
      </c>
      <c r="L14" s="247" t="s">
        <v>213</v>
      </c>
      <c r="M14" s="247" t="s">
        <v>214</v>
      </c>
      <c r="N14" s="174">
        <f>SUM(AB14:AC14)</f>
        <v>0</v>
      </c>
      <c r="O14" s="248" t="s">
        <v>220</v>
      </c>
      <c r="P14" s="249" t="s">
        <v>190</v>
      </c>
      <c r="Q14" s="249" t="s">
        <v>191</v>
      </c>
      <c r="R14" s="249" t="s">
        <v>192</v>
      </c>
      <c r="S14" s="249" t="s">
        <v>193</v>
      </c>
      <c r="T14" s="249" t="s">
        <v>194</v>
      </c>
      <c r="U14" s="249" t="s">
        <v>195</v>
      </c>
      <c r="V14" s="249" t="s">
        <v>196</v>
      </c>
      <c r="W14" s="249" t="s">
        <v>197</v>
      </c>
      <c r="X14" s="249" t="s">
        <v>198</v>
      </c>
      <c r="Y14" s="249" t="s">
        <v>199</v>
      </c>
      <c r="Z14" s="249" t="s">
        <v>200</v>
      </c>
      <c r="AA14" s="307" t="s">
        <v>201</v>
      </c>
      <c r="AB14" s="174">
        <f t="shared" ref="AB14" si="0">SUM(P14:AA14)</f>
        <v>0</v>
      </c>
      <c r="AC14" s="250" t="s">
        <v>215</v>
      </c>
      <c r="AD14" s="309" t="s">
        <v>219</v>
      </c>
    </row>
    <row r="15" spans="2:31" s="173" customFormat="1" ht="21" customHeight="1" x14ac:dyDescent="0.2">
      <c r="B15" s="267" t="s">
        <v>232</v>
      </c>
      <c r="C15" s="267" t="s">
        <v>232</v>
      </c>
      <c r="D15" s="272"/>
      <c r="E15" s="402"/>
      <c r="F15" s="403"/>
      <c r="G15" s="268" t="s">
        <v>189</v>
      </c>
      <c r="H15" s="268" t="s">
        <v>189</v>
      </c>
      <c r="I15" s="268" t="s">
        <v>189</v>
      </c>
      <c r="J15" s="268" t="s">
        <v>189</v>
      </c>
      <c r="K15" s="268" t="s">
        <v>189</v>
      </c>
      <c r="L15" s="268" t="s">
        <v>189</v>
      </c>
      <c r="M15" s="268" t="s">
        <v>189</v>
      </c>
      <c r="N15" s="268" t="s">
        <v>189</v>
      </c>
      <c r="O15" s="271" t="s">
        <v>189</v>
      </c>
      <c r="P15" s="268" t="s">
        <v>189</v>
      </c>
      <c r="Q15" s="268" t="s">
        <v>189</v>
      </c>
      <c r="R15" s="268" t="s">
        <v>189</v>
      </c>
      <c r="S15" s="268" t="s">
        <v>189</v>
      </c>
      <c r="T15" s="268" t="s">
        <v>189</v>
      </c>
      <c r="U15" s="268" t="s">
        <v>189</v>
      </c>
      <c r="V15" s="268" t="s">
        <v>189</v>
      </c>
      <c r="W15" s="268" t="s">
        <v>189</v>
      </c>
      <c r="X15" s="268" t="s">
        <v>189</v>
      </c>
      <c r="Y15" s="268" t="s">
        <v>189</v>
      </c>
      <c r="Z15" s="268" t="s">
        <v>189</v>
      </c>
      <c r="AA15" s="268" t="s">
        <v>189</v>
      </c>
      <c r="AB15" s="268" t="s">
        <v>189</v>
      </c>
      <c r="AC15" s="269" t="s">
        <v>189</v>
      </c>
      <c r="AD15" s="270"/>
    </row>
    <row r="20" spans="3:7" ht="15.75" x14ac:dyDescent="0.25">
      <c r="C20" s="24" t="s">
        <v>231</v>
      </c>
      <c r="D20" s="51"/>
      <c r="E20" s="51"/>
      <c r="F20" s="127">
        <v>0</v>
      </c>
      <c r="G20" s="51"/>
    </row>
    <row r="21" spans="3:7" ht="15.75" customHeight="1" x14ac:dyDescent="0.25">
      <c r="D21" s="251" t="s">
        <v>216</v>
      </c>
      <c r="E21" s="252" t="s">
        <v>217</v>
      </c>
      <c r="F21" s="127">
        <v>0</v>
      </c>
      <c r="G21" s="51"/>
    </row>
    <row r="22" spans="3:7" ht="16.5" thickBot="1" x14ac:dyDescent="0.3">
      <c r="C22" s="24" t="s">
        <v>84</v>
      </c>
      <c r="E22" s="254" t="s">
        <v>189</v>
      </c>
      <c r="F22" s="127"/>
      <c r="G22" s="51"/>
    </row>
    <row r="23" spans="3:7" ht="13.5" thickTop="1" x14ac:dyDescent="0.2"/>
  </sheetData>
  <mergeCells count="2">
    <mergeCell ref="B4:AB4"/>
    <mergeCell ref="E15:F15"/>
  </mergeCells>
  <phoneticPr fontId="4" type="noConversion"/>
  <conditionalFormatting sqref="B14:AC14">
    <cfRule type="expression" dxfId="6" priority="2">
      <formula>$AB14="BLUE"</formula>
    </cfRule>
    <cfRule type="expression" dxfId="5" priority="3">
      <formula>$AB14="PINK"</formula>
    </cfRule>
  </conditionalFormatting>
  <printOptions horizontalCentered="1"/>
  <pageMargins left="0" right="0" top="0.23622047244094491" bottom="0.39370078740157483" header="0" footer="0"/>
  <pageSetup paperSize="9" scale="55" orientation="landscape" r:id="rId1"/>
  <headerFooter alignWithMargins="0">
    <oddFooter>&amp;L&amp;F [&amp;A] &amp;D &amp;T&amp;RSheet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1"/>
  <dimension ref="A1:BN23"/>
  <sheetViews>
    <sheetView showZeros="0" topLeftCell="B1" zoomScaleNormal="100" zoomScaleSheetLayoutView="100" workbookViewId="0">
      <selection activeCell="B1" sqref="B1"/>
    </sheetView>
  </sheetViews>
  <sheetFormatPr defaultRowHeight="12.75" x14ac:dyDescent="0.2"/>
  <cols>
    <col min="1" max="1" width="0.85546875" customWidth="1"/>
    <col min="2" max="2" width="8.85546875" style="172" customWidth="1"/>
    <col min="3" max="3" width="7.85546875" style="56" customWidth="1"/>
    <col min="4" max="4" width="25.85546875" style="56" customWidth="1"/>
    <col min="5" max="27" width="9.85546875" customWidth="1"/>
    <col min="28" max="28" width="1.85546875" customWidth="1"/>
    <col min="29" max="29" width="5.140625" hidden="1" customWidth="1"/>
    <col min="30" max="30" width="6.5703125" hidden="1" customWidth="1"/>
  </cols>
  <sheetData>
    <row r="1" spans="1:66" ht="30" customHeight="1" x14ac:dyDescent="0.25">
      <c r="B1" s="163"/>
      <c r="C1" s="53"/>
      <c r="D1" s="5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0" t="s">
        <v>40</v>
      </c>
      <c r="Y1" s="4"/>
      <c r="Z1" s="394" t="s">
        <v>97</v>
      </c>
      <c r="AA1" s="46"/>
      <c r="AB1" s="5"/>
    </row>
    <row r="2" spans="1:66" ht="30" customHeight="1" x14ac:dyDescent="0.4">
      <c r="B2" s="164" t="s">
        <v>172</v>
      </c>
      <c r="C2" s="6"/>
      <c r="D2" s="6"/>
      <c r="E2" s="6"/>
      <c r="F2" s="6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51" t="s">
        <v>42</v>
      </c>
      <c r="Z2" s="392">
        <f>CHA1E!V2</f>
        <v>0</v>
      </c>
      <c r="AB2" s="8"/>
      <c r="AC2" s="45" t="s">
        <v>33</v>
      </c>
      <c r="AD2" s="45" t="s">
        <v>33</v>
      </c>
      <c r="AE2" s="45" t="s">
        <v>33</v>
      </c>
    </row>
    <row r="3" spans="1:66" ht="30" customHeight="1" x14ac:dyDescent="0.25">
      <c r="B3" s="165"/>
      <c r="C3" s="54"/>
      <c r="D3" s="5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1" t="s">
        <v>43</v>
      </c>
      <c r="Y3" s="2"/>
      <c r="Z3" s="24" t="str">
        <f>CHA1E!V3</f>
        <v xml:space="preserve"> </v>
      </c>
      <c r="AB3" s="10"/>
    </row>
    <row r="4" spans="1:66" ht="22.5" x14ac:dyDescent="0.3">
      <c r="B4" s="399" t="s">
        <v>93</v>
      </c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0"/>
      <c r="S4" s="400"/>
      <c r="T4" s="400"/>
      <c r="U4" s="400"/>
      <c r="V4" s="400"/>
      <c r="W4" s="400"/>
      <c r="X4" s="400"/>
      <c r="Y4" s="400"/>
      <c r="Z4" s="400"/>
      <c r="AA4" s="400"/>
      <c r="AB4" s="401"/>
    </row>
    <row r="5" spans="1:66" ht="14.25" x14ac:dyDescent="0.2">
      <c r="B5" s="165"/>
      <c r="C5" s="54"/>
      <c r="D5" s="5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5" t="s">
        <v>168</v>
      </c>
      <c r="Y5" s="2"/>
      <c r="Z5" s="24">
        <f>CHA1E!V4</f>
        <v>0</v>
      </c>
      <c r="AB5" s="10"/>
    </row>
    <row r="6" spans="1:66" x14ac:dyDescent="0.2">
      <c r="B6" s="166" t="s">
        <v>85</v>
      </c>
      <c r="C6" s="54"/>
      <c r="D6" s="237" t="str">
        <f>CHA1E!E6</f>
        <v xml:space="preserve"> </v>
      </c>
      <c r="E6" s="84"/>
      <c r="G6" s="2"/>
      <c r="H6" s="2"/>
      <c r="I6" s="2"/>
      <c r="K6" s="2"/>
      <c r="U6" s="11"/>
      <c r="V6" s="11" t="s">
        <v>86</v>
      </c>
      <c r="W6" s="43"/>
      <c r="X6" s="84" t="str">
        <f>CHA1E!R6</f>
        <v xml:space="preserve"> </v>
      </c>
      <c r="Z6" s="11"/>
      <c r="AA6" s="2"/>
      <c r="AB6" s="10"/>
    </row>
    <row r="7" spans="1:66" x14ac:dyDescent="0.2">
      <c r="B7" s="166" t="s">
        <v>33</v>
      </c>
      <c r="C7" s="54"/>
      <c r="D7" s="54"/>
      <c r="E7" s="84" t="s">
        <v>33</v>
      </c>
      <c r="G7" s="2"/>
      <c r="H7" s="2"/>
      <c r="I7" s="2"/>
      <c r="K7" s="2"/>
      <c r="L7" s="2"/>
      <c r="M7" s="2"/>
      <c r="N7" s="2"/>
      <c r="O7" s="2"/>
      <c r="P7" s="2"/>
      <c r="Q7" s="2"/>
      <c r="R7" s="2"/>
      <c r="S7" s="2"/>
      <c r="T7" s="2"/>
      <c r="U7" s="11"/>
      <c r="V7" s="11" t="s">
        <v>87</v>
      </c>
      <c r="W7" s="43"/>
      <c r="X7" s="84" t="str">
        <f>CHA1E!R7</f>
        <v xml:space="preserve"> </v>
      </c>
      <c r="Y7" s="2"/>
      <c r="Z7" s="2"/>
      <c r="AA7" s="2"/>
      <c r="AB7" s="10"/>
    </row>
    <row r="8" spans="1:66" x14ac:dyDescent="0.2">
      <c r="B8" s="167"/>
      <c r="C8" s="55"/>
      <c r="D8" s="55"/>
      <c r="E8" s="2"/>
      <c r="F8" s="2"/>
      <c r="G8" s="2"/>
      <c r="H8" s="2"/>
      <c r="I8" s="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2"/>
      <c r="AB8" s="10"/>
    </row>
    <row r="9" spans="1:66" x14ac:dyDescent="0.2">
      <c r="B9" s="168"/>
      <c r="C9" s="92"/>
      <c r="D9" s="92"/>
      <c r="E9" s="93" t="s">
        <v>53</v>
      </c>
      <c r="F9" s="93"/>
      <c r="G9" s="94" t="s">
        <v>52</v>
      </c>
      <c r="H9" s="93"/>
      <c r="I9" s="93" t="s">
        <v>54</v>
      </c>
      <c r="J9" s="93"/>
      <c r="K9" s="93"/>
      <c r="L9" s="87" t="s">
        <v>33</v>
      </c>
      <c r="M9" s="93"/>
      <c r="N9" s="93" t="s">
        <v>55</v>
      </c>
      <c r="O9" s="93"/>
      <c r="P9" s="93"/>
      <c r="Q9" s="93"/>
      <c r="R9" s="93"/>
      <c r="S9" s="93"/>
      <c r="T9" s="93"/>
      <c r="U9" s="93"/>
      <c r="V9" s="93"/>
      <c r="W9" s="93"/>
      <c r="X9" s="93"/>
      <c r="Y9" s="95"/>
      <c r="Z9" s="93" t="s">
        <v>33</v>
      </c>
      <c r="AA9" s="94" t="s">
        <v>52</v>
      </c>
      <c r="AB9" s="96"/>
    </row>
    <row r="10" spans="1:66" x14ac:dyDescent="0.2">
      <c r="B10" s="169" t="s">
        <v>56</v>
      </c>
      <c r="C10" s="97" t="s">
        <v>135</v>
      </c>
      <c r="D10" s="97" t="s">
        <v>57</v>
      </c>
      <c r="E10" s="98" t="s">
        <v>33</v>
      </c>
      <c r="F10" s="98"/>
      <c r="G10" s="99" t="s">
        <v>58</v>
      </c>
      <c r="H10" s="99"/>
      <c r="I10" s="98" t="s">
        <v>33</v>
      </c>
      <c r="J10" s="100" t="s">
        <v>33</v>
      </c>
      <c r="K10" s="100" t="s">
        <v>33</v>
      </c>
      <c r="L10" s="99" t="s">
        <v>59</v>
      </c>
      <c r="M10" s="101" t="s">
        <v>82</v>
      </c>
      <c r="N10" s="102" t="s">
        <v>33</v>
      </c>
      <c r="O10" s="102" t="s">
        <v>33</v>
      </c>
      <c r="P10" s="102" t="s">
        <v>33</v>
      </c>
      <c r="Q10" s="102" t="s">
        <v>33</v>
      </c>
      <c r="R10" s="102" t="s">
        <v>33</v>
      </c>
      <c r="S10" s="102" t="s">
        <v>33</v>
      </c>
      <c r="T10" s="102" t="s">
        <v>33</v>
      </c>
      <c r="U10" s="102" t="s">
        <v>33</v>
      </c>
      <c r="V10" s="102" t="s">
        <v>33</v>
      </c>
      <c r="W10" s="102" t="s">
        <v>33</v>
      </c>
      <c r="X10" s="102" t="s">
        <v>33</v>
      </c>
      <c r="Y10" s="102" t="s">
        <v>33</v>
      </c>
      <c r="Z10" s="101" t="s">
        <v>60</v>
      </c>
      <c r="AA10" s="101" t="s">
        <v>61</v>
      </c>
      <c r="AB10" s="103"/>
    </row>
    <row r="11" spans="1:66" x14ac:dyDescent="0.2">
      <c r="B11" s="169" t="s">
        <v>50</v>
      </c>
      <c r="C11" s="97"/>
      <c r="D11" s="97" t="s">
        <v>62</v>
      </c>
      <c r="E11" s="99" t="s">
        <v>63</v>
      </c>
      <c r="F11" s="99" t="s">
        <v>64</v>
      </c>
      <c r="G11" s="99" t="s">
        <v>65</v>
      </c>
      <c r="H11" s="99" t="s">
        <v>66</v>
      </c>
      <c r="I11" s="99" t="s">
        <v>67</v>
      </c>
      <c r="J11" s="101" t="s">
        <v>68</v>
      </c>
      <c r="K11" s="101" t="s">
        <v>35</v>
      </c>
      <c r="L11" s="99" t="s">
        <v>69</v>
      </c>
      <c r="M11" s="101" t="s">
        <v>83</v>
      </c>
      <c r="N11" s="266" t="s">
        <v>190</v>
      </c>
      <c r="O11" s="266" t="s">
        <v>191</v>
      </c>
      <c r="P11" s="266" t="s">
        <v>192</v>
      </c>
      <c r="Q11" s="266" t="s">
        <v>193</v>
      </c>
      <c r="R11" s="266" t="s">
        <v>194</v>
      </c>
      <c r="S11" s="266" t="s">
        <v>195</v>
      </c>
      <c r="T11" s="266" t="s">
        <v>196</v>
      </c>
      <c r="U11" s="266" t="s">
        <v>197</v>
      </c>
      <c r="V11" s="266" t="s">
        <v>198</v>
      </c>
      <c r="W11" s="266" t="s">
        <v>199</v>
      </c>
      <c r="X11" s="266" t="s">
        <v>200</v>
      </c>
      <c r="Y11" s="266" t="s">
        <v>201</v>
      </c>
      <c r="Z11" s="101" t="s">
        <v>70</v>
      </c>
      <c r="AA11" s="104" t="s">
        <v>70</v>
      </c>
      <c r="AB11" s="103"/>
    </row>
    <row r="12" spans="1:66" ht="14.25" customHeight="1" x14ac:dyDescent="0.2">
      <c r="B12" s="170" t="s">
        <v>33</v>
      </c>
      <c r="C12" s="105"/>
      <c r="D12" s="105"/>
      <c r="E12" s="105" t="s">
        <v>33</v>
      </c>
      <c r="F12" s="106" t="s">
        <v>71</v>
      </c>
      <c r="G12" s="106" t="s">
        <v>72</v>
      </c>
      <c r="H12" s="106" t="s">
        <v>73</v>
      </c>
      <c r="I12" s="106" t="s">
        <v>33</v>
      </c>
      <c r="J12" s="107" t="s">
        <v>33</v>
      </c>
      <c r="K12" s="106" t="s">
        <v>74</v>
      </c>
      <c r="L12" s="108" t="s">
        <v>75</v>
      </c>
      <c r="M12" s="108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9"/>
      <c r="Z12" s="106" t="s">
        <v>76</v>
      </c>
      <c r="AA12" s="106" t="s">
        <v>77</v>
      </c>
      <c r="AB12" s="103"/>
    </row>
    <row r="13" spans="1:66" x14ac:dyDescent="0.2">
      <c r="B13" s="171"/>
      <c r="C13" s="120"/>
      <c r="D13" s="120"/>
      <c r="E13" s="121"/>
      <c r="F13" s="121"/>
      <c r="G13" s="121"/>
      <c r="H13" s="121"/>
      <c r="I13" s="122" t="s">
        <v>33</v>
      </c>
      <c r="J13" s="123"/>
      <c r="K13" s="123"/>
      <c r="L13" s="123"/>
      <c r="M13" s="123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4"/>
      <c r="AA13" s="125"/>
      <c r="AB13" s="126"/>
    </row>
    <row r="14" spans="1:66" s="175" customFormat="1" ht="21" customHeight="1" x14ac:dyDescent="0.2">
      <c r="A14" s="315"/>
      <c r="B14" s="273" t="s">
        <v>218</v>
      </c>
      <c r="C14" s="273" t="s">
        <v>221</v>
      </c>
      <c r="D14" s="255" t="s">
        <v>183</v>
      </c>
      <c r="E14" s="245" t="s">
        <v>184</v>
      </c>
      <c r="F14" s="246" t="s">
        <v>185</v>
      </c>
      <c r="G14" s="247" t="s">
        <v>211</v>
      </c>
      <c r="H14" s="247" t="s">
        <v>210</v>
      </c>
      <c r="I14" s="174" t="e">
        <f>M14+N14</f>
        <v>#VALUE!</v>
      </c>
      <c r="J14" s="174" t="e">
        <f>I14-H14</f>
        <v>#VALUE!</v>
      </c>
      <c r="K14" s="247" t="s">
        <v>212</v>
      </c>
      <c r="L14" s="247" t="s">
        <v>213</v>
      </c>
      <c r="M14" s="247" t="s">
        <v>214</v>
      </c>
      <c r="N14" s="174">
        <f>SUM(AB14:AC14)</f>
        <v>0</v>
      </c>
      <c r="O14" s="248" t="s">
        <v>220</v>
      </c>
      <c r="P14" s="249" t="s">
        <v>190</v>
      </c>
      <c r="Q14" s="249" t="s">
        <v>191</v>
      </c>
      <c r="R14" s="249" t="s">
        <v>192</v>
      </c>
      <c r="S14" s="249" t="s">
        <v>193</v>
      </c>
      <c r="T14" s="249" t="s">
        <v>194</v>
      </c>
      <c r="U14" s="249" t="s">
        <v>195</v>
      </c>
      <c r="V14" s="249" t="s">
        <v>196</v>
      </c>
      <c r="W14" s="249" t="s">
        <v>197</v>
      </c>
      <c r="X14" s="249" t="s">
        <v>198</v>
      </c>
      <c r="Y14" s="249" t="s">
        <v>199</v>
      </c>
      <c r="Z14" s="249" t="s">
        <v>200</v>
      </c>
      <c r="AA14" s="307" t="s">
        <v>201</v>
      </c>
      <c r="AB14" s="174">
        <f t="shared" ref="AB14" si="0">SUM(P14:AA14)</f>
        <v>0</v>
      </c>
      <c r="AC14" s="250" t="s">
        <v>215</v>
      </c>
      <c r="AD14" s="309" t="s">
        <v>219</v>
      </c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</row>
    <row r="15" spans="1:66" s="175" customFormat="1" ht="21" customHeight="1" x14ac:dyDescent="0.2">
      <c r="A15" s="173"/>
      <c r="B15" s="267" t="s">
        <v>232</v>
      </c>
      <c r="C15" s="267" t="s">
        <v>232</v>
      </c>
      <c r="D15" s="272"/>
      <c r="E15" s="402"/>
      <c r="F15" s="403"/>
      <c r="G15" s="268" t="s">
        <v>189</v>
      </c>
      <c r="H15" s="268" t="s">
        <v>189</v>
      </c>
      <c r="I15" s="268" t="s">
        <v>189</v>
      </c>
      <c r="J15" s="268" t="s">
        <v>189</v>
      </c>
      <c r="K15" s="268" t="s">
        <v>189</v>
      </c>
      <c r="L15" s="268" t="s">
        <v>189</v>
      </c>
      <c r="M15" s="268" t="s">
        <v>189</v>
      </c>
      <c r="N15" s="268" t="s">
        <v>189</v>
      </c>
      <c r="O15" s="271" t="s">
        <v>189</v>
      </c>
      <c r="P15" s="268" t="s">
        <v>189</v>
      </c>
      <c r="Q15" s="268" t="s">
        <v>189</v>
      </c>
      <c r="R15" s="268" t="s">
        <v>189</v>
      </c>
      <c r="S15" s="268" t="s">
        <v>189</v>
      </c>
      <c r="T15" s="268" t="s">
        <v>189</v>
      </c>
      <c r="U15" s="268" t="s">
        <v>189</v>
      </c>
      <c r="V15" s="268" t="s">
        <v>189</v>
      </c>
      <c r="W15" s="268" t="s">
        <v>189</v>
      </c>
      <c r="X15" s="268" t="s">
        <v>189</v>
      </c>
      <c r="Y15" s="268" t="s">
        <v>189</v>
      </c>
      <c r="Z15" s="268" t="s">
        <v>189</v>
      </c>
      <c r="AA15" s="268" t="s">
        <v>189</v>
      </c>
      <c r="AB15" s="268" t="s">
        <v>189</v>
      </c>
      <c r="AC15" s="269" t="s">
        <v>189</v>
      </c>
      <c r="AD15" s="270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  <c r="AP15" s="173"/>
      <c r="AQ15" s="173"/>
      <c r="AR15" s="173"/>
      <c r="AS15" s="173"/>
      <c r="AT15" s="173"/>
      <c r="AU15" s="173"/>
      <c r="AV15" s="173"/>
      <c r="AW15" s="173"/>
      <c r="AX15" s="173"/>
      <c r="AY15" s="173"/>
      <c r="AZ15" s="173"/>
      <c r="BA15" s="173"/>
      <c r="BB15" s="173"/>
      <c r="BC15" s="173"/>
      <c r="BD15" s="173"/>
      <c r="BE15" s="173"/>
      <c r="BF15" s="173"/>
      <c r="BG15" s="173"/>
      <c r="BH15" s="173"/>
      <c r="BI15" s="173"/>
      <c r="BJ15" s="173"/>
      <c r="BK15" s="173"/>
      <c r="BL15" s="173"/>
      <c r="BM15" s="173"/>
      <c r="BN15" s="173"/>
    </row>
    <row r="20" spans="3:9" ht="15.75" x14ac:dyDescent="0.25">
      <c r="C20" s="24" t="s">
        <v>233</v>
      </c>
      <c r="D20" s="51"/>
      <c r="E20" s="51"/>
      <c r="F20" s="51"/>
      <c r="G20" s="51"/>
      <c r="H20" s="127">
        <v>0</v>
      </c>
      <c r="I20" s="51"/>
    </row>
    <row r="21" spans="3:9" ht="15.75" customHeight="1" x14ac:dyDescent="0.25">
      <c r="D21" s="251" t="s">
        <v>216</v>
      </c>
      <c r="E21" s="252" t="s">
        <v>217</v>
      </c>
      <c r="F21" s="127">
        <v>0</v>
      </c>
      <c r="G21" s="51"/>
    </row>
    <row r="22" spans="3:9" ht="16.5" thickBot="1" x14ac:dyDescent="0.3">
      <c r="C22" s="24" t="s">
        <v>84</v>
      </c>
      <c r="D22" s="51"/>
      <c r="E22" s="253" t="s">
        <v>189</v>
      </c>
      <c r="F22" s="127"/>
      <c r="G22" s="51"/>
    </row>
    <row r="23" spans="3:9" ht="13.5" thickTop="1" x14ac:dyDescent="0.2"/>
  </sheetData>
  <mergeCells count="2">
    <mergeCell ref="B4:AB4"/>
    <mergeCell ref="E15:F15"/>
  </mergeCells>
  <phoneticPr fontId="4" type="noConversion"/>
  <conditionalFormatting sqref="B14:AC14">
    <cfRule type="expression" dxfId="4" priority="1">
      <formula>$AB14="BLUE"</formula>
    </cfRule>
    <cfRule type="expression" dxfId="3" priority="2">
      <formula>$AB14="PINK"</formula>
    </cfRule>
    <cfRule type="expression" dxfId="2" priority="3">
      <formula>$AC14="BLACK"</formula>
    </cfRule>
    <cfRule type="expression" dxfId="1" priority="4">
      <formula>$AC14="BLUE"</formula>
    </cfRule>
    <cfRule type="expression" dxfId="0" priority="5">
      <formula>$AC14="PINK"</formula>
    </cfRule>
  </conditionalFormatting>
  <printOptions horizontalCentered="1"/>
  <pageMargins left="0" right="0" top="0.23622047244094491" bottom="0.39370078740157483" header="0" footer="0"/>
  <pageSetup paperSize="9" scale="55" orientation="landscape" horizontalDpi="4294967292" r:id="rId1"/>
  <headerFooter alignWithMargins="0">
    <oddFooter>&amp;L&amp;F [&amp;A] &amp;D &amp;T&amp;RSheet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R16"/>
  <sheetViews>
    <sheetView zoomScaleNormal="100" zoomScaleSheetLayoutView="100" workbookViewId="0"/>
  </sheetViews>
  <sheetFormatPr defaultRowHeight="12.75" x14ac:dyDescent="0.2"/>
  <cols>
    <col min="3" max="3" width="31.140625" style="157" customWidth="1"/>
    <col min="4" max="4" width="9.140625" style="159"/>
    <col min="5" max="16" width="7.85546875" customWidth="1"/>
    <col min="17" max="17" width="11" style="156" customWidth="1"/>
    <col min="18" max="18" width="8.85546875" hidden="1" customWidth="1"/>
  </cols>
  <sheetData>
    <row r="1" spans="1:18" ht="23.25" customHeight="1" x14ac:dyDescent="0.25">
      <c r="A1" s="128"/>
      <c r="B1" s="137"/>
      <c r="C1" s="53"/>
      <c r="D1" s="78"/>
      <c r="E1" s="4"/>
      <c r="F1" s="4"/>
      <c r="G1" s="4"/>
      <c r="H1" s="4"/>
      <c r="I1" s="4"/>
      <c r="J1" s="4"/>
      <c r="K1" s="4"/>
      <c r="L1" s="4"/>
      <c r="M1" s="50" t="s">
        <v>202</v>
      </c>
      <c r="N1" s="4"/>
      <c r="O1" s="23" t="s">
        <v>33</v>
      </c>
      <c r="P1" s="46" t="s">
        <v>122</v>
      </c>
      <c r="Q1" s="224"/>
      <c r="R1" s="2"/>
    </row>
    <row r="2" spans="1:18" ht="26.25" customHeight="1" x14ac:dyDescent="0.4">
      <c r="A2" s="160" t="s">
        <v>173</v>
      </c>
      <c r="B2" s="208"/>
      <c r="C2" s="84"/>
      <c r="D2" s="148"/>
      <c r="E2" s="6"/>
      <c r="F2" s="7"/>
      <c r="G2" s="7"/>
      <c r="H2" s="7"/>
      <c r="I2" s="7"/>
      <c r="J2" s="7"/>
      <c r="K2" s="7"/>
      <c r="L2" s="7"/>
      <c r="M2" s="51" t="s">
        <v>42</v>
      </c>
      <c r="P2" s="405">
        <f>CHA1E!V2</f>
        <v>0</v>
      </c>
      <c r="Q2" s="406"/>
      <c r="R2" s="7"/>
    </row>
    <row r="3" spans="1:18" ht="30" customHeight="1" x14ac:dyDescent="0.25">
      <c r="A3" s="129"/>
      <c r="B3" s="139"/>
      <c r="C3" s="54"/>
      <c r="D3" s="77"/>
      <c r="E3" s="2"/>
      <c r="F3" s="2"/>
      <c r="G3" s="2"/>
      <c r="H3" s="2"/>
      <c r="I3" s="2"/>
      <c r="J3" s="2"/>
      <c r="K3" s="2"/>
      <c r="L3" s="2"/>
      <c r="M3" s="404" t="s">
        <v>169</v>
      </c>
      <c r="N3" s="404"/>
      <c r="O3" s="404"/>
      <c r="P3" s="24" t="str">
        <f>CHA1E!V3</f>
        <v xml:space="preserve"> </v>
      </c>
      <c r="Q3" s="225"/>
      <c r="R3" s="2"/>
    </row>
    <row r="4" spans="1:18" ht="22.5" x14ac:dyDescent="0.3">
      <c r="A4" s="399" t="s">
        <v>126</v>
      </c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16"/>
      <c r="R4" s="223"/>
    </row>
    <row r="5" spans="1:18" ht="14.25" x14ac:dyDescent="0.2">
      <c r="A5" s="129"/>
      <c r="B5" s="139"/>
      <c r="C5" s="54"/>
      <c r="D5" s="77"/>
      <c r="E5" s="2"/>
      <c r="F5" s="2"/>
      <c r="G5" s="2"/>
      <c r="H5" s="2"/>
      <c r="I5" s="2"/>
      <c r="J5" s="2"/>
      <c r="K5" s="2"/>
      <c r="L5" s="2"/>
      <c r="M5" s="25" t="s">
        <v>43</v>
      </c>
      <c r="N5" s="2"/>
      <c r="O5" s="2"/>
      <c r="P5" s="24">
        <f>CHA1E!V4</f>
        <v>0</v>
      </c>
      <c r="Q5" s="226"/>
      <c r="R5" s="2"/>
    </row>
    <row r="6" spans="1:18" x14ac:dyDescent="0.2">
      <c r="A6" s="130" t="s">
        <v>85</v>
      </c>
      <c r="B6" s="143"/>
      <c r="C6" s="237" t="str">
        <f>CHA1E!E6</f>
        <v xml:space="preserve"> </v>
      </c>
      <c r="D6" s="49"/>
      <c r="E6" s="2"/>
      <c r="K6" s="11" t="s">
        <v>86</v>
      </c>
      <c r="M6" s="43" t="str">
        <f>CHA1E!R6</f>
        <v xml:space="preserve"> </v>
      </c>
      <c r="O6" s="11"/>
      <c r="P6" s="2"/>
      <c r="Q6" s="226"/>
      <c r="R6" s="2"/>
    </row>
    <row r="7" spans="1:18" x14ac:dyDescent="0.2">
      <c r="A7" s="130" t="s">
        <v>33</v>
      </c>
      <c r="B7" s="143"/>
      <c r="C7" s="54"/>
      <c r="D7" s="49" t="s">
        <v>33</v>
      </c>
      <c r="E7" s="2"/>
      <c r="F7" s="2"/>
      <c r="G7" s="2"/>
      <c r="H7" s="2"/>
      <c r="K7" s="11" t="s">
        <v>87</v>
      </c>
      <c r="M7" s="43" t="str">
        <f>CHA1E!R7</f>
        <v xml:space="preserve"> </v>
      </c>
      <c r="N7" s="2"/>
      <c r="O7" s="2"/>
      <c r="P7" s="2"/>
      <c r="Q7" s="226"/>
      <c r="R7" s="2"/>
    </row>
    <row r="8" spans="1:18" x14ac:dyDescent="0.2">
      <c r="A8" s="131"/>
      <c r="B8" s="209"/>
      <c r="C8" s="55"/>
      <c r="D8" s="77"/>
      <c r="E8" s="2"/>
      <c r="F8" s="12"/>
      <c r="G8" s="12"/>
      <c r="H8" s="12"/>
      <c r="I8" s="12"/>
      <c r="J8" s="12"/>
      <c r="K8" s="12"/>
      <c r="L8" s="12"/>
      <c r="M8" s="12"/>
      <c r="N8" s="12"/>
      <c r="O8" s="12"/>
      <c r="P8" s="2"/>
      <c r="Q8" s="226"/>
      <c r="R8" s="2"/>
    </row>
    <row r="9" spans="1:18" x14ac:dyDescent="0.2">
      <c r="A9" s="408" t="s">
        <v>187</v>
      </c>
      <c r="B9" s="410" t="s">
        <v>135</v>
      </c>
      <c r="C9" s="412" t="s">
        <v>188</v>
      </c>
      <c r="D9" s="414" t="s">
        <v>123</v>
      </c>
      <c r="E9" s="407" t="s">
        <v>125</v>
      </c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227" t="s">
        <v>35</v>
      </c>
    </row>
    <row r="10" spans="1:18" ht="12.75" customHeight="1" x14ac:dyDescent="0.2">
      <c r="A10" s="409"/>
      <c r="B10" s="411"/>
      <c r="C10" s="413"/>
      <c r="D10" s="415"/>
      <c r="E10" s="229" t="s">
        <v>190</v>
      </c>
      <c r="F10" s="229" t="s">
        <v>191</v>
      </c>
      <c r="G10" s="229" t="s">
        <v>192</v>
      </c>
      <c r="H10" s="229" t="s">
        <v>193</v>
      </c>
      <c r="I10" s="229" t="s">
        <v>194</v>
      </c>
      <c r="J10" s="229" t="s">
        <v>195</v>
      </c>
      <c r="K10" s="229" t="s">
        <v>196</v>
      </c>
      <c r="L10" s="229" t="s">
        <v>197</v>
      </c>
      <c r="M10" s="229" t="s">
        <v>198</v>
      </c>
      <c r="N10" s="229" t="s">
        <v>199</v>
      </c>
      <c r="O10" s="229" t="s">
        <v>200</v>
      </c>
      <c r="P10" s="229" t="s">
        <v>201</v>
      </c>
      <c r="Q10" s="228">
        <f>SUM(R12:R13)</f>
        <v>0</v>
      </c>
    </row>
    <row r="11" spans="1:18" ht="12.75" customHeight="1" x14ac:dyDescent="0.2">
      <c r="A11" s="295"/>
      <c r="B11" s="290"/>
      <c r="C11" s="291"/>
      <c r="D11" s="292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4"/>
    </row>
    <row r="12" spans="1:18" ht="15" customHeight="1" x14ac:dyDescent="0.2">
      <c r="A12" s="301" t="s">
        <v>226</v>
      </c>
      <c r="B12" s="284" t="s">
        <v>183</v>
      </c>
      <c r="C12" s="284" t="s">
        <v>227</v>
      </c>
      <c r="D12" s="300" t="s">
        <v>223</v>
      </c>
      <c r="E12" s="287" t="s">
        <v>186</v>
      </c>
      <c r="F12" s="288" t="s">
        <v>190</v>
      </c>
      <c r="G12" s="288" t="s">
        <v>191</v>
      </c>
      <c r="H12" s="288" t="s">
        <v>192</v>
      </c>
      <c r="I12" s="288" t="s">
        <v>193</v>
      </c>
      <c r="J12" s="288" t="s">
        <v>194</v>
      </c>
      <c r="K12" s="288" t="s">
        <v>195</v>
      </c>
      <c r="L12" s="288" t="s">
        <v>196</v>
      </c>
      <c r="M12" s="288" t="s">
        <v>197</v>
      </c>
      <c r="N12" s="288" t="s">
        <v>198</v>
      </c>
      <c r="O12" s="288" t="s">
        <v>199</v>
      </c>
      <c r="P12" s="288" t="s">
        <v>200</v>
      </c>
      <c r="Q12" s="288" t="s">
        <v>201</v>
      </c>
      <c r="R12" s="303">
        <f t="shared" ref="R12" si="0">SUM(F12:Q12)</f>
        <v>0</v>
      </c>
    </row>
    <row r="13" spans="1:18" s="210" customFormat="1" x14ac:dyDescent="0.2">
      <c r="A13" s="296"/>
      <c r="B13" s="183" t="s">
        <v>228</v>
      </c>
      <c r="C13" s="116"/>
      <c r="D13" s="117"/>
      <c r="E13" s="297"/>
      <c r="F13" s="298" t="s">
        <v>189</v>
      </c>
      <c r="G13" s="298" t="s">
        <v>189</v>
      </c>
      <c r="H13" s="298" t="s">
        <v>189</v>
      </c>
      <c r="I13" s="298" t="s">
        <v>189</v>
      </c>
      <c r="J13" s="298" t="s">
        <v>189</v>
      </c>
      <c r="K13" s="298" t="s">
        <v>189</v>
      </c>
      <c r="L13" s="298" t="s">
        <v>189</v>
      </c>
      <c r="M13" s="298" t="s">
        <v>189</v>
      </c>
      <c r="N13" s="298" t="s">
        <v>189</v>
      </c>
      <c r="O13" s="298" t="s">
        <v>189</v>
      </c>
      <c r="P13" s="298" t="s">
        <v>189</v>
      </c>
      <c r="Q13" s="298" t="s">
        <v>189</v>
      </c>
      <c r="R13" s="299" t="s">
        <v>189</v>
      </c>
    </row>
    <row r="16" spans="1:18" ht="15.75" x14ac:dyDescent="0.25">
      <c r="C16" s="244"/>
    </row>
  </sheetData>
  <mergeCells count="8">
    <mergeCell ref="M3:O3"/>
    <mergeCell ref="P2:Q2"/>
    <mergeCell ref="E9:P9"/>
    <mergeCell ref="A9:A10"/>
    <mergeCell ref="B9:B10"/>
    <mergeCell ref="C9:C10"/>
    <mergeCell ref="D9:D10"/>
    <mergeCell ref="A4:Q4"/>
  </mergeCells>
  <phoneticPr fontId="4" type="noConversion"/>
  <pageMargins left="0.15748031496062992" right="0.15748031496062992" top="0.39370078740157483" bottom="0.31496062992125984" header="0.23622047244094491" footer="0.19685039370078741"/>
  <pageSetup paperSize="9" scale="90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S12"/>
  <sheetViews>
    <sheetView workbookViewId="0"/>
  </sheetViews>
  <sheetFormatPr defaultRowHeight="12.75" x14ac:dyDescent="0.2"/>
  <cols>
    <col min="3" max="3" width="25.42578125" style="157" customWidth="1"/>
    <col min="4" max="4" width="9.140625" style="159"/>
    <col min="5" max="16" width="7.85546875" customWidth="1"/>
    <col min="17" max="17" width="11" style="156" customWidth="1"/>
    <col min="18" max="18" width="1" customWidth="1"/>
  </cols>
  <sheetData>
    <row r="1" spans="1:19" ht="23.25" customHeight="1" x14ac:dyDescent="0.25">
      <c r="A1" s="128"/>
      <c r="B1" s="137"/>
      <c r="C1" s="53"/>
      <c r="D1" s="78"/>
      <c r="E1" s="4"/>
      <c r="F1" s="4"/>
      <c r="G1" s="4"/>
      <c r="H1" s="4"/>
      <c r="I1" s="4"/>
      <c r="J1" s="4"/>
      <c r="K1" s="4"/>
      <c r="L1" s="4"/>
      <c r="M1" s="50" t="s">
        <v>40</v>
      </c>
      <c r="N1" s="4"/>
      <c r="O1" s="23" t="s">
        <v>33</v>
      </c>
      <c r="P1" s="50" t="s">
        <v>170</v>
      </c>
      <c r="Q1" s="151"/>
      <c r="R1" s="5"/>
    </row>
    <row r="2" spans="1:19" ht="26.25" customHeight="1" x14ac:dyDescent="0.4">
      <c r="A2" s="160" t="s">
        <v>173</v>
      </c>
      <c r="B2" s="208"/>
      <c r="C2" s="84"/>
      <c r="D2" s="148"/>
      <c r="E2" s="6"/>
      <c r="F2" s="7"/>
      <c r="G2" s="7"/>
      <c r="H2" s="7"/>
      <c r="I2" s="7"/>
      <c r="J2" s="7"/>
      <c r="K2" s="7"/>
      <c r="L2" s="7"/>
      <c r="M2" s="51" t="s">
        <v>42</v>
      </c>
      <c r="P2" s="392">
        <f>CHA1E!V2</f>
        <v>0</v>
      </c>
      <c r="Q2" s="152"/>
      <c r="R2" s="8"/>
      <c r="S2" s="45" t="s">
        <v>33</v>
      </c>
    </row>
    <row r="3" spans="1:19" ht="30" customHeight="1" x14ac:dyDescent="0.25">
      <c r="A3" s="129"/>
      <c r="B3" s="139"/>
      <c r="C3" s="54"/>
      <c r="D3" s="77"/>
      <c r="E3" s="2"/>
      <c r="F3" s="2"/>
      <c r="G3" s="2"/>
      <c r="H3" s="2"/>
      <c r="I3" s="2"/>
      <c r="J3" s="2"/>
      <c r="K3" s="2"/>
      <c r="L3" s="2"/>
      <c r="M3" s="51" t="s">
        <v>169</v>
      </c>
      <c r="N3" s="2"/>
      <c r="O3" s="25" t="s">
        <v>33</v>
      </c>
      <c r="P3" s="24" t="str">
        <f>CHA1E!V3</f>
        <v xml:space="preserve"> </v>
      </c>
      <c r="Q3" s="153"/>
      <c r="R3" s="10"/>
    </row>
    <row r="4" spans="1:19" ht="22.5" x14ac:dyDescent="0.3">
      <c r="A4" s="399" t="s">
        <v>126</v>
      </c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1"/>
    </row>
    <row r="5" spans="1:19" ht="14.25" x14ac:dyDescent="0.2">
      <c r="A5" s="129"/>
      <c r="B5" s="139"/>
      <c r="C5" s="54"/>
      <c r="D5" s="77"/>
      <c r="E5" s="2"/>
      <c r="F5" s="2"/>
      <c r="G5" s="2"/>
      <c r="H5" s="2"/>
      <c r="I5" s="2"/>
      <c r="J5" s="2"/>
      <c r="K5" s="2"/>
      <c r="L5" s="2"/>
      <c r="M5" s="25" t="s">
        <v>43</v>
      </c>
      <c r="N5" s="2"/>
      <c r="O5" s="2"/>
      <c r="P5" s="24">
        <f>CHA1E!V4</f>
        <v>0</v>
      </c>
      <c r="Q5" s="154"/>
      <c r="R5" s="10"/>
    </row>
    <row r="6" spans="1:19" x14ac:dyDescent="0.2">
      <c r="A6" s="130" t="s">
        <v>85</v>
      </c>
      <c r="B6" s="143"/>
      <c r="C6" s="237" t="str">
        <f>CHA1E!E6</f>
        <v xml:space="preserve"> </v>
      </c>
      <c r="D6" s="49"/>
      <c r="E6" s="2"/>
      <c r="I6" s="11" t="s">
        <v>86</v>
      </c>
      <c r="K6" s="11"/>
      <c r="L6" s="43" t="str">
        <f>CHA1E!R6</f>
        <v xml:space="preserve"> </v>
      </c>
      <c r="O6" s="11"/>
      <c r="P6" s="2"/>
      <c r="Q6" s="154"/>
      <c r="R6" s="10"/>
    </row>
    <row r="7" spans="1:19" x14ac:dyDescent="0.2">
      <c r="A7" s="130" t="s">
        <v>33</v>
      </c>
      <c r="B7" s="143"/>
      <c r="C7" s="54"/>
      <c r="D7" s="49" t="s">
        <v>33</v>
      </c>
      <c r="E7" s="2"/>
      <c r="F7" s="2"/>
      <c r="G7" s="2"/>
      <c r="H7" s="2"/>
      <c r="I7" s="11" t="s">
        <v>87</v>
      </c>
      <c r="K7" s="11"/>
      <c r="L7" s="43" t="str">
        <f>CHA1E!R7</f>
        <v xml:space="preserve"> </v>
      </c>
      <c r="M7" s="2"/>
      <c r="N7" s="2"/>
      <c r="O7" s="2"/>
      <c r="P7" s="2"/>
      <c r="Q7" s="154"/>
      <c r="R7" s="10"/>
    </row>
    <row r="8" spans="1:19" x14ac:dyDescent="0.2">
      <c r="A8" s="131"/>
      <c r="B8" s="209"/>
      <c r="C8" s="55"/>
      <c r="D8" s="77"/>
      <c r="E8" s="2"/>
      <c r="F8" s="12"/>
      <c r="G8" s="12"/>
      <c r="H8" s="12"/>
      <c r="I8" s="12"/>
      <c r="J8" s="12"/>
      <c r="K8" s="12"/>
      <c r="L8" s="12"/>
      <c r="M8" s="12"/>
      <c r="N8" s="12"/>
      <c r="O8" s="12"/>
      <c r="P8" s="2"/>
      <c r="Q8" s="154"/>
      <c r="R8" s="10"/>
    </row>
    <row r="9" spans="1:19" x14ac:dyDescent="0.2">
      <c r="A9" s="85" t="s">
        <v>56</v>
      </c>
      <c r="B9" s="86" t="s">
        <v>135</v>
      </c>
      <c r="C9" s="86" t="s">
        <v>57</v>
      </c>
      <c r="D9" s="149" t="s">
        <v>123</v>
      </c>
      <c r="E9" s="407" t="s">
        <v>125</v>
      </c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155" t="s">
        <v>35</v>
      </c>
      <c r="R9" s="147"/>
    </row>
    <row r="10" spans="1:19" x14ac:dyDescent="0.2">
      <c r="A10" s="150" t="s">
        <v>50</v>
      </c>
      <c r="B10" s="116"/>
      <c r="C10" s="116" t="s">
        <v>124</v>
      </c>
      <c r="D10" s="158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62">
        <f>SUM(Q11:Q12)</f>
        <v>0</v>
      </c>
      <c r="R10" s="76"/>
    </row>
    <row r="11" spans="1:19" ht="15" x14ac:dyDescent="0.25">
      <c r="A11" s="256"/>
      <c r="B11" s="257"/>
      <c r="C11" s="258"/>
      <c r="D11" s="259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60"/>
      <c r="R11" s="64"/>
    </row>
    <row r="12" spans="1:19" ht="15" x14ac:dyDescent="0.25">
      <c r="A12" s="261"/>
      <c r="B12" s="262"/>
      <c r="C12" s="263"/>
      <c r="D12" s="264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5">
        <f t="shared" ref="Q12" si="0">SUM(E12:P12)</f>
        <v>0</v>
      </c>
      <c r="R12" s="76"/>
    </row>
  </sheetData>
  <mergeCells count="2">
    <mergeCell ref="A4:R4"/>
    <mergeCell ref="E9:P9"/>
  </mergeCells>
  <phoneticPr fontId="4" type="noConversion"/>
  <pageMargins left="0.17" right="0.17" top="0.41" bottom="0.3" header="0.25" footer="0.2"/>
  <pageSetup paperSize="9" scale="90" orientation="landscape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F12DB7-EDDB-4318-8EB6-A2FA199897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6A790F-3AD1-48B1-AFC4-CACE6D598D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FE6BB87-4642-4758-A146-E86811C92C9D}">
  <ds:schemaRefs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47</vt:i4>
      </vt:variant>
    </vt:vector>
  </HeadingPairs>
  <TitlesOfParts>
    <vt:vector size="56" baseType="lpstr">
      <vt:lpstr>Help</vt:lpstr>
      <vt:lpstr>CHA1E</vt:lpstr>
      <vt:lpstr>STA6</vt:lpstr>
      <vt:lpstr>STA6_1</vt:lpstr>
      <vt:lpstr>STA6_2</vt:lpstr>
      <vt:lpstr>TM02</vt:lpstr>
      <vt:lpstr>TM02_1</vt:lpstr>
      <vt:lpstr>ACT01</vt:lpstr>
      <vt:lpstr>ACT02</vt:lpstr>
      <vt:lpstr>ACT01_Data</vt:lpstr>
      <vt:lpstr>ACT01_Heading</vt:lpstr>
      <vt:lpstr>Cha1e_chart_location</vt:lpstr>
      <vt:lpstr>Cha1e_Future</vt:lpstr>
      <vt:lpstr>Cha1e_Project</vt:lpstr>
      <vt:lpstr>Cha1e_ser_a</vt:lpstr>
      <vt:lpstr>Cha1e_ser_a_title</vt:lpstr>
      <vt:lpstr>Cha1e_ser_c</vt:lpstr>
      <vt:lpstr>Cha1e_ser_c_title</vt:lpstr>
      <vt:lpstr>Cha1e_ser_d</vt:lpstr>
      <vt:lpstr>Cha1e_ser_d_title</vt:lpstr>
      <vt:lpstr>Cha1e_ser_g</vt:lpstr>
      <vt:lpstr>Cha1e_ser_g_title</vt:lpstr>
      <vt:lpstr>Cha1e_ser_h</vt:lpstr>
      <vt:lpstr>Cha1e_ser_h_title</vt:lpstr>
      <vt:lpstr>Cha1e_ser_k</vt:lpstr>
      <vt:lpstr>Cha1e_ser_k_title</vt:lpstr>
      <vt:lpstr>Cha1e_ser_n</vt:lpstr>
      <vt:lpstr>Cha1e_ser_n_title</vt:lpstr>
      <vt:lpstr>Cha1e_Subcontract</vt:lpstr>
      <vt:lpstr>Cha1e_x_axis</vt:lpstr>
      <vt:lpstr>'ACT01'!Print_Area</vt:lpstr>
      <vt:lpstr>Help!Print_Area</vt:lpstr>
      <vt:lpstr>'STA6'!Print_Area</vt:lpstr>
      <vt:lpstr>STA6_1!Print_Area</vt:lpstr>
      <vt:lpstr>STA6_2!Print_Area</vt:lpstr>
      <vt:lpstr>'TM02'!Print_Area</vt:lpstr>
      <vt:lpstr>TM02_1!Print_Area</vt:lpstr>
      <vt:lpstr>'ACT01'!Print_Titles</vt:lpstr>
      <vt:lpstr>'ACT02'!Print_Titles</vt:lpstr>
      <vt:lpstr>Help!Print_Titles</vt:lpstr>
      <vt:lpstr>'STA6'!Print_Titles</vt:lpstr>
      <vt:lpstr>STA6_1!Print_Titles</vt:lpstr>
      <vt:lpstr>STA6_2!Print_Titles</vt:lpstr>
      <vt:lpstr>'TM02'!Print_Titles</vt:lpstr>
      <vt:lpstr>TM02_1!Print_Titles</vt:lpstr>
      <vt:lpstr>STA6_1_Data</vt:lpstr>
      <vt:lpstr>STA6_2_Data</vt:lpstr>
      <vt:lpstr>STA6_Data</vt:lpstr>
      <vt:lpstr>STA6_NotSub_Data</vt:lpstr>
      <vt:lpstr>STA6_Odd_Data</vt:lpstr>
      <vt:lpstr>TM02_1_Data</vt:lpstr>
      <vt:lpstr>TM02_1_EmpType_Hrs_Data</vt:lpstr>
      <vt:lpstr>TM02_1_Heading</vt:lpstr>
      <vt:lpstr>TM02_Data</vt:lpstr>
      <vt:lpstr>TM02_EmpType_Hrs_Data</vt:lpstr>
      <vt:lpstr>TM02_Heading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Mistry Abhishek</cp:lastModifiedBy>
  <cp:lastPrinted>2020-06-16T04:38:26Z</cp:lastPrinted>
  <dcterms:created xsi:type="dcterms:W3CDTF">1998-08-27T06:04:06Z</dcterms:created>
  <dcterms:modified xsi:type="dcterms:W3CDTF">2023-09-08T10:54:40Z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8d9558-26a3-4f93-8788-04a494c05692_Enabled">
    <vt:lpwstr>true</vt:lpwstr>
  </property>
  <property fmtid="{D5CDD505-2E9C-101B-9397-08002B2CF9AE}" pid="3" name="MSIP_Label_e18d9558-26a3-4f93-8788-04a494c05692_SetDate">
    <vt:lpwstr>2022-01-21T08:42:01Z</vt:lpwstr>
  </property>
  <property fmtid="{D5CDD505-2E9C-101B-9397-08002B2CF9AE}" pid="4" name="MSIP_Label_e18d9558-26a3-4f93-8788-04a494c05692_Method">
    <vt:lpwstr>Standard</vt:lpwstr>
  </property>
  <property fmtid="{D5CDD505-2E9C-101B-9397-08002B2CF9AE}" pid="5" name="MSIP_Label_e18d9558-26a3-4f93-8788-04a494c05692_Name">
    <vt:lpwstr>e18d9558-26a3-4f93-8788-04a494c05692</vt:lpwstr>
  </property>
  <property fmtid="{D5CDD505-2E9C-101B-9397-08002B2CF9AE}" pid="6" name="MSIP_Label_e18d9558-26a3-4f93-8788-04a494c05692_SiteId">
    <vt:lpwstr>7cc91888-5aa0-49e5-a836-22cda2eae0fc</vt:lpwstr>
  </property>
  <property fmtid="{D5CDD505-2E9C-101B-9397-08002B2CF9AE}" pid="7" name="MSIP_Label_e18d9558-26a3-4f93-8788-04a494c05692_ActionId">
    <vt:lpwstr>ec416c3f-0b4a-4286-8cb6-e72600d50e79</vt:lpwstr>
  </property>
  <property fmtid="{D5CDD505-2E9C-101B-9397-08002B2CF9AE}" pid="8" name="MSIP_Label_e18d9558-26a3-4f93-8788-04a494c05692_ContentBits">
    <vt:lpwstr>0</vt:lpwstr>
  </property>
  <property fmtid="{D5CDD505-2E9C-101B-9397-08002B2CF9AE}" pid="9" name="ContentTypeId">
    <vt:lpwstr>0x0101005B7E1DC03A831441A27BE8093DD26759</vt:lpwstr>
  </property>
</Properties>
</file>