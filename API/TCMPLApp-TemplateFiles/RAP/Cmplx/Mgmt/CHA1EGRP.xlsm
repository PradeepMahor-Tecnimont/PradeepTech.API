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pen\Downloads\"/>
    </mc:Choice>
  </mc:AlternateContent>
  <bookViews>
    <workbookView xWindow="5985" yWindow="-15" windowWidth="5970" windowHeight="3300" tabRatio="633" activeTab="3"/>
  </bookViews>
  <sheets>
    <sheet name="Help" sheetId="1" r:id="rId1"/>
    <sheet name="CHA1E" sheetId="5" r:id="rId2"/>
    <sheet name="CHA1E_24" sheetId="9" r:id="rId3"/>
    <sheet name="Sheet1" sheetId="10" r:id="rId4"/>
  </sheets>
  <definedNames>
    <definedName name="Cha1e24Fur">CHA1E_24!$A$32:$AD$33</definedName>
    <definedName name="Cha1e24Proj">CHA1E_24!$A$23:$AD$24</definedName>
    <definedName name="Cha1e24Sub">CHA1E_24!$E$52:$AD$52</definedName>
    <definedName name="Cha1eFur">CHA1E!$A$32:$X$33</definedName>
    <definedName name="Cha1eProj">CHA1E!$A$23:$X$24</definedName>
    <definedName name="Cha1eSub">CHA1E!$E$52:$X$52</definedName>
    <definedName name="_xlnm.Print_Area" localSheetId="1">CHA1E!$A$1:$X$107</definedName>
    <definedName name="_xlnm.Print_Area" localSheetId="2">CHA1E_24!$A$1:$AD$107</definedName>
    <definedName name="_xlnm.Print_Area" localSheetId="0">Help!$A$1:$H$47</definedName>
    <definedName name="_xlnm.Print_Area" localSheetId="3">Sheet1!$A$1:$X$109</definedName>
    <definedName name="_xlnm.Print_Titles" localSheetId="1">CHA1E!$1:$6</definedName>
    <definedName name="_xlnm.Print_Titles" localSheetId="2">CHA1E_24!$1:$6</definedName>
    <definedName name="_xlnm.Print_Titles" localSheetId="0">Help!$1:$6</definedName>
    <definedName name="_xlnm.Print_Titles" localSheetId="3">Sheet1!$1:$6</definedName>
  </definedNames>
  <calcPr calcId="162913"/>
</workbook>
</file>

<file path=xl/calcChain.xml><?xml version="1.0" encoding="utf-8"?>
<calcChain xmlns="http://schemas.openxmlformats.org/spreadsheetml/2006/main">
  <c r="AB63" i="9" l="1"/>
  <c r="AA63" i="9"/>
  <c r="Z63" i="9"/>
  <c r="Y63" i="9"/>
  <c r="X63" i="9"/>
  <c r="W63" i="9"/>
  <c r="V63" i="9"/>
  <c r="U63" i="9"/>
  <c r="AB62" i="9"/>
  <c r="AA62" i="9"/>
  <c r="Z62" i="9"/>
  <c r="Y62" i="9"/>
  <c r="X62" i="9"/>
  <c r="W62" i="9"/>
  <c r="V62" i="9"/>
  <c r="U62" i="9"/>
  <c r="AB60" i="9"/>
  <c r="AA60" i="9"/>
  <c r="Z60" i="9"/>
  <c r="Y60" i="9"/>
  <c r="X60" i="9"/>
  <c r="W60" i="9"/>
  <c r="V60" i="9"/>
  <c r="U60" i="9"/>
  <c r="AB59" i="9"/>
  <c r="AA59" i="9"/>
  <c r="Z59" i="9"/>
  <c r="Y59" i="9"/>
  <c r="X59" i="9"/>
  <c r="W59" i="9"/>
  <c r="V59" i="9"/>
  <c r="U59" i="9"/>
  <c r="AB58" i="9"/>
  <c r="AA58" i="9"/>
  <c r="Z58" i="9"/>
  <c r="Y58" i="9"/>
  <c r="X58" i="9"/>
  <c r="W58" i="9"/>
  <c r="V58" i="9"/>
  <c r="U58" i="9"/>
  <c r="AB57" i="9"/>
  <c r="AA57" i="9"/>
  <c r="Z57" i="9"/>
  <c r="Y57" i="9"/>
  <c r="X57" i="9"/>
  <c r="W57" i="9"/>
  <c r="V57" i="9"/>
  <c r="U57" i="9"/>
  <c r="AB49" i="9"/>
  <c r="AA49" i="9"/>
  <c r="Z49" i="9"/>
  <c r="Y49" i="9"/>
  <c r="X49" i="9"/>
  <c r="W49" i="9"/>
  <c r="V49" i="9"/>
  <c r="U49" i="9"/>
  <c r="AB48" i="9"/>
  <c r="AA48" i="9"/>
  <c r="Z48" i="9"/>
  <c r="Y48" i="9"/>
  <c r="X48" i="9"/>
  <c r="W48" i="9"/>
  <c r="V48" i="9"/>
  <c r="U48" i="9"/>
  <c r="AB47" i="9"/>
  <c r="AA47" i="9"/>
  <c r="Z47" i="9"/>
  <c r="Y47" i="9"/>
  <c r="X47" i="9"/>
  <c r="W47" i="9"/>
  <c r="V47" i="9"/>
  <c r="U47" i="9"/>
  <c r="AB46" i="9"/>
  <c r="AA46" i="9"/>
  <c r="Z46" i="9"/>
  <c r="Y46" i="9"/>
  <c r="X46" i="9"/>
  <c r="W46" i="9"/>
  <c r="V46" i="9"/>
  <c r="U46" i="9"/>
  <c r="AB45" i="9"/>
  <c r="AA45" i="9"/>
  <c r="Z45" i="9"/>
  <c r="Y45" i="9"/>
  <c r="X45" i="9"/>
  <c r="W45" i="9"/>
  <c r="V45" i="9"/>
  <c r="U45" i="9"/>
  <c r="AB44" i="9"/>
  <c r="AA44" i="9"/>
  <c r="Z44" i="9"/>
  <c r="Y44" i="9"/>
  <c r="X44" i="9"/>
  <c r="W44" i="9"/>
  <c r="V44" i="9"/>
  <c r="U44" i="9"/>
  <c r="AB43" i="9"/>
  <c r="AA43" i="9"/>
  <c r="Z43" i="9"/>
  <c r="Y43" i="9"/>
  <c r="X43" i="9"/>
  <c r="W43" i="9"/>
  <c r="V43" i="9"/>
  <c r="U43" i="9"/>
  <c r="AB42" i="9"/>
  <c r="AA42" i="9"/>
  <c r="Z42" i="9"/>
  <c r="Y42" i="9"/>
  <c r="X42" i="9"/>
  <c r="W42" i="9"/>
  <c r="V42" i="9"/>
  <c r="U42" i="9"/>
  <c r="AB41" i="9"/>
  <c r="AA41" i="9"/>
  <c r="Z41" i="9"/>
  <c r="Y41" i="9"/>
  <c r="X41" i="9"/>
  <c r="W41" i="9"/>
  <c r="V41" i="9"/>
  <c r="U41" i="9"/>
  <c r="AB39" i="9"/>
  <c r="AA39" i="9"/>
  <c r="Z39" i="9"/>
  <c r="Y39" i="9"/>
  <c r="X39" i="9"/>
  <c r="W39" i="9"/>
  <c r="V39" i="9"/>
  <c r="U39" i="9"/>
  <c r="AB38" i="9"/>
  <c r="AA38" i="9"/>
  <c r="Z38" i="9"/>
  <c r="Y38" i="9"/>
  <c r="X38" i="9"/>
  <c r="W38" i="9"/>
  <c r="V38" i="9"/>
  <c r="U38" i="9"/>
  <c r="AB37" i="9"/>
  <c r="AA37" i="9"/>
  <c r="Z37" i="9"/>
  <c r="Y37" i="9"/>
  <c r="X37" i="9"/>
  <c r="W37" i="9"/>
  <c r="V37" i="9"/>
  <c r="U37" i="9"/>
  <c r="AB28" i="9"/>
  <c r="AA28" i="9"/>
  <c r="Z28" i="9"/>
  <c r="Y28" i="9"/>
  <c r="X28" i="9"/>
  <c r="W28" i="9"/>
  <c r="V28" i="9"/>
  <c r="U28" i="9"/>
  <c r="AB19" i="9"/>
  <c r="AA19" i="9"/>
  <c r="Z19" i="9"/>
  <c r="Y19" i="9"/>
  <c r="X19" i="9"/>
  <c r="W19" i="9"/>
  <c r="V19" i="9"/>
  <c r="U19" i="9"/>
  <c r="AB18" i="9"/>
  <c r="AA18" i="9"/>
  <c r="Z18" i="9"/>
  <c r="Y18" i="9"/>
  <c r="X18" i="9"/>
  <c r="W18" i="9"/>
  <c r="V18" i="9"/>
  <c r="U18" i="9"/>
  <c r="Z17" i="9"/>
  <c r="Y17" i="9"/>
  <c r="X17" i="9"/>
  <c r="W17" i="9"/>
  <c r="V17" i="9"/>
  <c r="U17" i="9"/>
  <c r="U61" i="9" l="1"/>
  <c r="V61" i="9"/>
  <c r="W61" i="9"/>
  <c r="X61" i="9"/>
  <c r="Y61" i="9"/>
  <c r="Z61" i="9"/>
  <c r="U54" i="9"/>
  <c r="V54" i="9"/>
  <c r="W54" i="9"/>
  <c r="X54" i="9"/>
  <c r="Y54" i="9"/>
  <c r="Z54" i="9"/>
  <c r="U53" i="9"/>
  <c r="V53" i="9"/>
  <c r="W53" i="9"/>
  <c r="X53" i="9"/>
  <c r="Y53" i="9"/>
  <c r="Z53" i="9"/>
  <c r="P31" i="10" l="1"/>
  <c r="N31" i="10"/>
  <c r="V22" i="10"/>
  <c r="V31" i="10" s="1"/>
  <c r="U22" i="10"/>
  <c r="U31" i="10" s="1"/>
  <c r="T22" i="10"/>
  <c r="T31" i="10" s="1"/>
  <c r="S22" i="10"/>
  <c r="S31" i="10" s="1"/>
  <c r="R22" i="10"/>
  <c r="R31" i="10" s="1"/>
  <c r="Q22" i="10"/>
  <c r="Q31" i="10" s="1"/>
  <c r="P22" i="10"/>
  <c r="O22" i="10"/>
  <c r="O31" i="10" s="1"/>
  <c r="N22" i="10"/>
  <c r="M22" i="10"/>
  <c r="M31" i="10" s="1"/>
  <c r="L22" i="10"/>
  <c r="L31" i="10" s="1"/>
  <c r="K22" i="10"/>
  <c r="K31" i="10" s="1"/>
  <c r="J22" i="10"/>
  <c r="J31" i="10" s="1"/>
  <c r="I22" i="10"/>
  <c r="I31" i="10" s="1"/>
  <c r="H22" i="10"/>
  <c r="H31" i="10" s="1"/>
  <c r="G22" i="10"/>
  <c r="G31" i="10" s="1"/>
  <c r="F22" i="10"/>
  <c r="F31" i="10" s="1"/>
  <c r="AB31" i="9" l="1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W52" i="10" l="1"/>
  <c r="X43" i="10"/>
  <c r="V41" i="10"/>
  <c r="V57" i="10" s="1"/>
  <c r="Q41" i="10"/>
  <c r="Q57" i="10" s="1"/>
  <c r="P41" i="10"/>
  <c r="P57" i="10" s="1"/>
  <c r="K41" i="10"/>
  <c r="K57" i="10" s="1"/>
  <c r="J41" i="10"/>
  <c r="J57" i="10" s="1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V37" i="10"/>
  <c r="U37" i="10"/>
  <c r="T37" i="10"/>
  <c r="S37" i="10"/>
  <c r="S39" i="10" s="1"/>
  <c r="R37" i="10"/>
  <c r="Q37" i="10"/>
  <c r="Q39" i="10" s="1"/>
  <c r="P37" i="10"/>
  <c r="O37" i="10"/>
  <c r="N37" i="10"/>
  <c r="N39" i="10" s="1"/>
  <c r="M37" i="10"/>
  <c r="M39" i="10" s="1"/>
  <c r="L37" i="10"/>
  <c r="K37" i="10"/>
  <c r="K39" i="10" s="1"/>
  <c r="J37" i="10"/>
  <c r="I37" i="10"/>
  <c r="H37" i="10"/>
  <c r="H39" i="10" s="1"/>
  <c r="G37" i="10"/>
  <c r="G39" i="10" s="1"/>
  <c r="F37" i="10"/>
  <c r="E37" i="10"/>
  <c r="E39" i="10" s="1"/>
  <c r="W36" i="10"/>
  <c r="W35" i="10"/>
  <c r="W34" i="10"/>
  <c r="W32" i="10"/>
  <c r="V28" i="10"/>
  <c r="V46" i="10" s="1"/>
  <c r="V63" i="10" s="1"/>
  <c r="U28" i="10"/>
  <c r="T28" i="10"/>
  <c r="S28" i="10"/>
  <c r="S45" i="10" s="1"/>
  <c r="S62" i="10" s="1"/>
  <c r="R28" i="10"/>
  <c r="Q28" i="10"/>
  <c r="Q45" i="10" s="1"/>
  <c r="Q62" i="10" s="1"/>
  <c r="P28" i="10"/>
  <c r="P45" i="10" s="1"/>
  <c r="P62" i="10" s="1"/>
  <c r="O28" i="10"/>
  <c r="N28" i="10"/>
  <c r="N47" i="10" s="1"/>
  <c r="M28" i="10"/>
  <c r="M45" i="10" s="1"/>
  <c r="M62" i="10" s="1"/>
  <c r="L28" i="10"/>
  <c r="K28" i="10"/>
  <c r="K45" i="10" s="1"/>
  <c r="K62" i="10" s="1"/>
  <c r="J28" i="10"/>
  <c r="J45" i="10" s="1"/>
  <c r="J62" i="10" s="1"/>
  <c r="I28" i="10"/>
  <c r="H28" i="10"/>
  <c r="H47" i="10" s="1"/>
  <c r="G28" i="10"/>
  <c r="G45" i="10" s="1"/>
  <c r="G62" i="10" s="1"/>
  <c r="F28" i="10"/>
  <c r="E28" i="10"/>
  <c r="E46" i="10" s="1"/>
  <c r="W27" i="10"/>
  <c r="W26" i="10"/>
  <c r="W25" i="10"/>
  <c r="W23" i="10"/>
  <c r="W28" i="10" s="1"/>
  <c r="W22" i="10"/>
  <c r="W41" i="10" s="1"/>
  <c r="W57" i="10" s="1"/>
  <c r="T41" i="10"/>
  <c r="T57" i="10" s="1"/>
  <c r="S41" i="10"/>
  <c r="S57" i="10" s="1"/>
  <c r="R41" i="10"/>
  <c r="R57" i="10" s="1"/>
  <c r="N41" i="10"/>
  <c r="N57" i="10" s="1"/>
  <c r="M41" i="10"/>
  <c r="M57" i="10" s="1"/>
  <c r="L41" i="10"/>
  <c r="L57" i="10" s="1"/>
  <c r="H41" i="10"/>
  <c r="H57" i="10" s="1"/>
  <c r="G41" i="10"/>
  <c r="G57" i="10" s="1"/>
  <c r="F41" i="10"/>
  <c r="F57" i="10" s="1"/>
  <c r="E22" i="10"/>
  <c r="E31" i="10" s="1"/>
  <c r="S19" i="10"/>
  <c r="S43" i="10" s="1"/>
  <c r="S59" i="10" s="1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V17" i="10"/>
  <c r="V58" i="10" s="1"/>
  <c r="U17" i="10"/>
  <c r="T17" i="10"/>
  <c r="T58" i="10" s="1"/>
  <c r="S17" i="10"/>
  <c r="S58" i="10" s="1"/>
  <c r="R17" i="10"/>
  <c r="Q17" i="10"/>
  <c r="Q42" i="10" s="1"/>
  <c r="P17" i="10"/>
  <c r="P58" i="10" s="1"/>
  <c r="O17" i="10"/>
  <c r="N17" i="10"/>
  <c r="N58" i="10" s="1"/>
  <c r="M17" i="10"/>
  <c r="M58" i="10" s="1"/>
  <c r="L17" i="10"/>
  <c r="K17" i="10"/>
  <c r="K42" i="10" s="1"/>
  <c r="J17" i="10"/>
  <c r="J58" i="10" s="1"/>
  <c r="I17" i="10"/>
  <c r="H17" i="10"/>
  <c r="H58" i="10" s="1"/>
  <c r="G17" i="10"/>
  <c r="G58" i="10" s="1"/>
  <c r="F17" i="10"/>
  <c r="E17" i="10"/>
  <c r="E42" i="10" s="1"/>
  <c r="W16" i="10"/>
  <c r="W15" i="10"/>
  <c r="W14" i="10"/>
  <c r="W13" i="10"/>
  <c r="W12" i="10"/>
  <c r="W11" i="10"/>
  <c r="W10" i="10"/>
  <c r="AC52" i="9"/>
  <c r="AD43" i="9"/>
  <c r="AC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T37" i="9"/>
  <c r="T39" i="9" s="1"/>
  <c r="S37" i="9"/>
  <c r="R37" i="9"/>
  <c r="R39" i="9" s="1"/>
  <c r="Q37" i="9"/>
  <c r="Q39" i="9" s="1"/>
  <c r="P37" i="9"/>
  <c r="P39" i="9" s="1"/>
  <c r="O37" i="9"/>
  <c r="O39" i="9" s="1"/>
  <c r="N37" i="9"/>
  <c r="N39" i="9" s="1"/>
  <c r="M37" i="9"/>
  <c r="L37" i="9"/>
  <c r="L39" i="9" s="1"/>
  <c r="K37" i="9"/>
  <c r="K39" i="9" s="1"/>
  <c r="J37" i="9"/>
  <c r="I37" i="9"/>
  <c r="I39" i="9" s="1"/>
  <c r="H37" i="9"/>
  <c r="H39" i="9" s="1"/>
  <c r="G37" i="9"/>
  <c r="F37" i="9"/>
  <c r="F39" i="9" s="1"/>
  <c r="E37" i="9"/>
  <c r="E39" i="9" s="1"/>
  <c r="AC36" i="9"/>
  <c r="AC35" i="9"/>
  <c r="AC34" i="9"/>
  <c r="AC32" i="9"/>
  <c r="AC37" i="9" s="1"/>
  <c r="T28" i="9"/>
  <c r="S28" i="9"/>
  <c r="R28" i="9"/>
  <c r="R45" i="9" s="1"/>
  <c r="R62" i="9" s="1"/>
  <c r="Q28" i="9"/>
  <c r="Q46" i="9" s="1"/>
  <c r="P28" i="9"/>
  <c r="O28" i="9"/>
  <c r="N28" i="9"/>
  <c r="M28" i="9"/>
  <c r="L28" i="9"/>
  <c r="L45" i="9" s="1"/>
  <c r="L62" i="9" s="1"/>
  <c r="K28" i="9"/>
  <c r="K46" i="9" s="1"/>
  <c r="J28" i="9"/>
  <c r="I28" i="9"/>
  <c r="H28" i="9"/>
  <c r="G28" i="9"/>
  <c r="F28" i="9"/>
  <c r="F45" i="9" s="1"/>
  <c r="F62" i="9" s="1"/>
  <c r="E28" i="9"/>
  <c r="E46" i="9" s="1"/>
  <c r="AC27" i="9"/>
  <c r="AC26" i="9"/>
  <c r="AC25" i="9"/>
  <c r="AC23" i="9"/>
  <c r="AC22" i="9"/>
  <c r="AC41" i="9" s="1"/>
  <c r="AC57" i="9" s="1"/>
  <c r="Q41" i="9"/>
  <c r="Q57" i="9" s="1"/>
  <c r="O41" i="9"/>
  <c r="O57" i="9" s="1"/>
  <c r="K41" i="9"/>
  <c r="K57" i="9" s="1"/>
  <c r="I41" i="9"/>
  <c r="I57" i="9" s="1"/>
  <c r="E22" i="9"/>
  <c r="E41" i="9" s="1"/>
  <c r="E57" i="9" s="1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AB17" i="9"/>
  <c r="AA17" i="9"/>
  <c r="T17" i="9"/>
  <c r="T58" i="9" s="1"/>
  <c r="S17" i="9"/>
  <c r="R17" i="9"/>
  <c r="R58" i="9" s="1"/>
  <c r="Q17" i="9"/>
  <c r="Q58" i="9" s="1"/>
  <c r="P17" i="9"/>
  <c r="P42" i="9" s="1"/>
  <c r="O17" i="9"/>
  <c r="O58" i="9" s="1"/>
  <c r="N17" i="9"/>
  <c r="N58" i="9" s="1"/>
  <c r="M17" i="9"/>
  <c r="L17" i="9"/>
  <c r="L58" i="9" s="1"/>
  <c r="K17" i="9"/>
  <c r="K58" i="9" s="1"/>
  <c r="J17" i="9"/>
  <c r="J42" i="9" s="1"/>
  <c r="I17" i="9"/>
  <c r="I58" i="9" s="1"/>
  <c r="H17" i="9"/>
  <c r="H58" i="9" s="1"/>
  <c r="G17" i="9"/>
  <c r="F17" i="9"/>
  <c r="F58" i="9" s="1"/>
  <c r="E17" i="9"/>
  <c r="AC16" i="9"/>
  <c r="AC15" i="9"/>
  <c r="AC14" i="9"/>
  <c r="AC13" i="9"/>
  <c r="AC12" i="9"/>
  <c r="AC11" i="9"/>
  <c r="AC10" i="9"/>
  <c r="R46" i="10" l="1"/>
  <c r="F46" i="10"/>
  <c r="L46" i="10"/>
  <c r="L63" i="10" s="1"/>
  <c r="E41" i="10"/>
  <c r="E57" i="10" s="1"/>
  <c r="H19" i="10"/>
  <c r="H43" i="10" s="1"/>
  <c r="N19" i="10"/>
  <c r="N43" i="10" s="1"/>
  <c r="N59" i="10" s="1"/>
  <c r="T19" i="10"/>
  <c r="T43" i="10" s="1"/>
  <c r="P19" i="10"/>
  <c r="P43" i="10" s="1"/>
  <c r="P44" i="10" s="1"/>
  <c r="P49" i="10" s="1"/>
  <c r="S44" i="10"/>
  <c r="V19" i="10"/>
  <c r="V43" i="10" s="1"/>
  <c r="V44" i="10" s="1"/>
  <c r="V54" i="10" s="1"/>
  <c r="J42" i="10"/>
  <c r="E45" i="10"/>
  <c r="E62" i="10" s="1"/>
  <c r="W18" i="10"/>
  <c r="G19" i="10"/>
  <c r="G43" i="10" s="1"/>
  <c r="G59" i="10" s="1"/>
  <c r="P42" i="10"/>
  <c r="W31" i="10"/>
  <c r="J19" i="10"/>
  <c r="J43" i="10" s="1"/>
  <c r="I39" i="10"/>
  <c r="O39" i="10"/>
  <c r="U39" i="10"/>
  <c r="V42" i="10"/>
  <c r="M19" i="10"/>
  <c r="M43" i="10" s="1"/>
  <c r="J46" i="10"/>
  <c r="J63" i="10" s="1"/>
  <c r="P46" i="10"/>
  <c r="P63" i="10" s="1"/>
  <c r="V39" i="10"/>
  <c r="Q46" i="10"/>
  <c r="Q63" i="10" s="1"/>
  <c r="J39" i="10"/>
  <c r="F39" i="10"/>
  <c r="L39" i="10"/>
  <c r="R39" i="10"/>
  <c r="P39" i="10"/>
  <c r="K46" i="10"/>
  <c r="K63" i="10" s="1"/>
  <c r="F45" i="10"/>
  <c r="F62" i="10" s="1"/>
  <c r="R45" i="10"/>
  <c r="R62" i="10" s="1"/>
  <c r="V45" i="10"/>
  <c r="V62" i="10" s="1"/>
  <c r="L45" i="10"/>
  <c r="L62" i="10" s="1"/>
  <c r="I47" i="9"/>
  <c r="O47" i="9"/>
  <c r="G39" i="9"/>
  <c r="M39" i="9"/>
  <c r="S39" i="9"/>
  <c r="J39" i="9"/>
  <c r="G47" i="9"/>
  <c r="M47" i="9"/>
  <c r="S47" i="9"/>
  <c r="H47" i="9"/>
  <c r="N47" i="9"/>
  <c r="T47" i="9"/>
  <c r="V47" i="10"/>
  <c r="P47" i="10"/>
  <c r="T47" i="10"/>
  <c r="T39" i="10"/>
  <c r="E47" i="10"/>
  <c r="K47" i="10"/>
  <c r="Q47" i="10"/>
  <c r="J47" i="10"/>
  <c r="AC39" i="9"/>
  <c r="F58" i="10"/>
  <c r="F42" i="10"/>
  <c r="F19" i="10"/>
  <c r="F43" i="10" s="1"/>
  <c r="L58" i="10"/>
  <c r="L42" i="10"/>
  <c r="L19" i="10"/>
  <c r="L43" i="10" s="1"/>
  <c r="R58" i="10"/>
  <c r="R42" i="10"/>
  <c r="R19" i="10"/>
  <c r="R43" i="10" s="1"/>
  <c r="E63" i="10"/>
  <c r="J44" i="10"/>
  <c r="J49" i="10" s="1"/>
  <c r="J59" i="10"/>
  <c r="F63" i="10"/>
  <c r="R63" i="10"/>
  <c r="H44" i="10"/>
  <c r="H59" i="10"/>
  <c r="N44" i="10"/>
  <c r="T44" i="10"/>
  <c r="T59" i="10"/>
  <c r="S60" i="10"/>
  <c r="S61" i="10" s="1"/>
  <c r="I58" i="10"/>
  <c r="I42" i="10"/>
  <c r="I19" i="10"/>
  <c r="I43" i="10" s="1"/>
  <c r="O42" i="10"/>
  <c r="O19" i="10"/>
  <c r="O43" i="10" s="1"/>
  <c r="O58" i="10"/>
  <c r="U58" i="10"/>
  <c r="U42" i="10"/>
  <c r="U19" i="10"/>
  <c r="U43" i="10" s="1"/>
  <c r="P59" i="10"/>
  <c r="I41" i="10"/>
  <c r="I57" i="10" s="1"/>
  <c r="O41" i="10"/>
  <c r="O57" i="10" s="1"/>
  <c r="U41" i="10"/>
  <c r="U57" i="10" s="1"/>
  <c r="I47" i="10"/>
  <c r="I46" i="10"/>
  <c r="I45" i="10"/>
  <c r="I62" i="10" s="1"/>
  <c r="O47" i="10"/>
  <c r="O46" i="10"/>
  <c r="O45" i="10"/>
  <c r="O62" i="10" s="1"/>
  <c r="U47" i="10"/>
  <c r="U46" i="10"/>
  <c r="U45" i="10"/>
  <c r="U62" i="10" s="1"/>
  <c r="W37" i="10"/>
  <c r="W39" i="10" s="1"/>
  <c r="H45" i="10"/>
  <c r="H62" i="10" s="1"/>
  <c r="N45" i="10"/>
  <c r="N62" i="10" s="1"/>
  <c r="T45" i="10"/>
  <c r="T62" i="10" s="1"/>
  <c r="G46" i="10"/>
  <c r="M46" i="10"/>
  <c r="S46" i="10"/>
  <c r="F47" i="10"/>
  <c r="L47" i="10"/>
  <c r="R47" i="10"/>
  <c r="E58" i="10"/>
  <c r="K58" i="10"/>
  <c r="Q58" i="10"/>
  <c r="G42" i="10"/>
  <c r="M42" i="10"/>
  <c r="S42" i="10"/>
  <c r="H46" i="10"/>
  <c r="N46" i="10"/>
  <c r="T46" i="10"/>
  <c r="G47" i="10"/>
  <c r="M47" i="10"/>
  <c r="S47" i="10"/>
  <c r="H42" i="10"/>
  <c r="N42" i="10"/>
  <c r="T42" i="10"/>
  <c r="W17" i="10"/>
  <c r="W58" i="10" s="1"/>
  <c r="E19" i="10"/>
  <c r="K19" i="10"/>
  <c r="K43" i="10" s="1"/>
  <c r="Q19" i="10"/>
  <c r="Q43" i="10" s="1"/>
  <c r="Q42" i="9"/>
  <c r="S45" i="9"/>
  <c r="S62" i="9" s="1"/>
  <c r="F46" i="9"/>
  <c r="F63" i="9" s="1"/>
  <c r="K42" i="9"/>
  <c r="L46" i="9"/>
  <c r="Q19" i="9"/>
  <c r="Q43" i="9" s="1"/>
  <c r="Q59" i="9" s="1"/>
  <c r="J58" i="9"/>
  <c r="M45" i="9"/>
  <c r="M62" i="9" s="1"/>
  <c r="P58" i="9"/>
  <c r="AC17" i="9"/>
  <c r="AC58" i="9" s="1"/>
  <c r="AC18" i="9"/>
  <c r="E19" i="9"/>
  <c r="E43" i="9" s="1"/>
  <c r="E59" i="9" s="1"/>
  <c r="L41" i="9"/>
  <c r="L57" i="9" s="1"/>
  <c r="K47" i="9"/>
  <c r="F19" i="9"/>
  <c r="F43" i="9" s="1"/>
  <c r="F44" i="9" s="1"/>
  <c r="F49" i="9" s="1"/>
  <c r="L19" i="9"/>
  <c r="L43" i="9" s="1"/>
  <c r="L59" i="9" s="1"/>
  <c r="R19" i="9"/>
  <c r="R43" i="9" s="1"/>
  <c r="R59" i="9" s="1"/>
  <c r="K19" i="9"/>
  <c r="K43" i="9" s="1"/>
  <c r="K44" i="9" s="1"/>
  <c r="E42" i="9"/>
  <c r="Q47" i="9"/>
  <c r="R46" i="9"/>
  <c r="R63" i="9" s="1"/>
  <c r="G45" i="9"/>
  <c r="G62" i="9" s="1"/>
  <c r="E47" i="9"/>
  <c r="R41" i="9"/>
  <c r="R57" i="9" s="1"/>
  <c r="F41" i="9"/>
  <c r="F57" i="9" s="1"/>
  <c r="E44" i="9"/>
  <c r="F59" i="9"/>
  <c r="R44" i="9"/>
  <c r="G58" i="9"/>
  <c r="G42" i="9"/>
  <c r="G19" i="9"/>
  <c r="G43" i="9" s="1"/>
  <c r="M58" i="9"/>
  <c r="M42" i="9"/>
  <c r="M19" i="9"/>
  <c r="M43" i="9" s="1"/>
  <c r="S58" i="9"/>
  <c r="S42" i="9"/>
  <c r="S19" i="9"/>
  <c r="S43" i="9" s="1"/>
  <c r="Q44" i="9"/>
  <c r="Q54" i="9" s="1"/>
  <c r="J41" i="9"/>
  <c r="J57" i="9" s="1"/>
  <c r="P41" i="9"/>
  <c r="P57" i="9" s="1"/>
  <c r="J47" i="9"/>
  <c r="J46" i="9"/>
  <c r="J45" i="9"/>
  <c r="J62" i="9" s="1"/>
  <c r="P47" i="9"/>
  <c r="P46" i="9"/>
  <c r="P45" i="9"/>
  <c r="P62" i="9" s="1"/>
  <c r="E54" i="9"/>
  <c r="E63" i="9"/>
  <c r="K63" i="9"/>
  <c r="Q63" i="9"/>
  <c r="AC28" i="9"/>
  <c r="G41" i="9"/>
  <c r="G57" i="9" s="1"/>
  <c r="M41" i="9"/>
  <c r="M57" i="9" s="1"/>
  <c r="S41" i="9"/>
  <c r="S57" i="9" s="1"/>
  <c r="F42" i="9"/>
  <c r="L42" i="9"/>
  <c r="R42" i="9"/>
  <c r="H45" i="9"/>
  <c r="H62" i="9" s="1"/>
  <c r="N45" i="9"/>
  <c r="N62" i="9" s="1"/>
  <c r="T45" i="9"/>
  <c r="T62" i="9" s="1"/>
  <c r="G46" i="9"/>
  <c r="M46" i="9"/>
  <c r="S46" i="9"/>
  <c r="F47" i="9"/>
  <c r="L47" i="9"/>
  <c r="R47" i="9"/>
  <c r="E58" i="9"/>
  <c r="L63" i="9"/>
  <c r="E31" i="9"/>
  <c r="AC31" i="9"/>
  <c r="H41" i="9"/>
  <c r="H57" i="9" s="1"/>
  <c r="N41" i="9"/>
  <c r="N57" i="9" s="1"/>
  <c r="T41" i="9"/>
  <c r="T57" i="9" s="1"/>
  <c r="I45" i="9"/>
  <c r="I62" i="9" s="1"/>
  <c r="O45" i="9"/>
  <c r="O62" i="9" s="1"/>
  <c r="H46" i="9"/>
  <c r="N46" i="9"/>
  <c r="T46" i="9"/>
  <c r="H19" i="9"/>
  <c r="H43" i="9" s="1"/>
  <c r="N19" i="9"/>
  <c r="N43" i="9" s="1"/>
  <c r="T19" i="9"/>
  <c r="T43" i="9" s="1"/>
  <c r="H42" i="9"/>
  <c r="N42" i="9"/>
  <c r="T42" i="9"/>
  <c r="I46" i="9"/>
  <c r="O46" i="9"/>
  <c r="I19" i="9"/>
  <c r="I43" i="9" s="1"/>
  <c r="O19" i="9"/>
  <c r="O43" i="9" s="1"/>
  <c r="I42" i="9"/>
  <c r="O42" i="9"/>
  <c r="E45" i="9"/>
  <c r="K45" i="9"/>
  <c r="K62" i="9" s="1"/>
  <c r="Q45" i="9"/>
  <c r="Q62" i="9" s="1"/>
  <c r="J19" i="9"/>
  <c r="J43" i="9" s="1"/>
  <c r="P19" i="9"/>
  <c r="P43" i="9" s="1"/>
  <c r="W34" i="5"/>
  <c r="W35" i="5"/>
  <c r="W42" i="10" l="1"/>
  <c r="J54" i="10"/>
  <c r="V59" i="10"/>
  <c r="M59" i="10"/>
  <c r="M44" i="10"/>
  <c r="M60" i="10" s="1"/>
  <c r="M61" i="10" s="1"/>
  <c r="S53" i="10"/>
  <c r="G44" i="10"/>
  <c r="P54" i="10"/>
  <c r="S48" i="10"/>
  <c r="W47" i="10"/>
  <c r="M63" i="10"/>
  <c r="H60" i="10"/>
  <c r="H61" i="10" s="1"/>
  <c r="H48" i="10"/>
  <c r="H53" i="10"/>
  <c r="Q44" i="10"/>
  <c r="Q59" i="10"/>
  <c r="G49" i="10"/>
  <c r="G63" i="10"/>
  <c r="G54" i="10"/>
  <c r="O63" i="10"/>
  <c r="W45" i="10"/>
  <c r="L44" i="10"/>
  <c r="L59" i="10"/>
  <c r="K44" i="10"/>
  <c r="K59" i="10"/>
  <c r="T49" i="10"/>
  <c r="T63" i="10"/>
  <c r="T54" i="10"/>
  <c r="O59" i="10"/>
  <c r="O44" i="10"/>
  <c r="O54" i="10" s="1"/>
  <c r="T60" i="10"/>
  <c r="T61" i="10" s="1"/>
  <c r="T48" i="10"/>
  <c r="T53" i="10"/>
  <c r="G53" i="10"/>
  <c r="G60" i="10"/>
  <c r="G61" i="10" s="1"/>
  <c r="G48" i="10"/>
  <c r="W19" i="10"/>
  <c r="E43" i="10"/>
  <c r="N63" i="10"/>
  <c r="N54" i="10"/>
  <c r="N49" i="10"/>
  <c r="P48" i="10"/>
  <c r="P53" i="10"/>
  <c r="P60" i="10"/>
  <c r="P61" i="10" s="1"/>
  <c r="J48" i="10"/>
  <c r="J53" i="10"/>
  <c r="J60" i="10"/>
  <c r="J61" i="10" s="1"/>
  <c r="V48" i="10"/>
  <c r="V53" i="10"/>
  <c r="V60" i="10"/>
  <c r="V61" i="10" s="1"/>
  <c r="H49" i="10"/>
  <c r="H63" i="10"/>
  <c r="H54" i="10"/>
  <c r="U63" i="10"/>
  <c r="I63" i="10"/>
  <c r="U59" i="10"/>
  <c r="U44" i="10"/>
  <c r="U54" i="10" s="1"/>
  <c r="I59" i="10"/>
  <c r="I44" i="10"/>
  <c r="N60" i="10"/>
  <c r="N61" i="10" s="1"/>
  <c r="N48" i="10"/>
  <c r="N53" i="10"/>
  <c r="W46" i="10"/>
  <c r="W63" i="10" s="1"/>
  <c r="R44" i="10"/>
  <c r="R59" i="10"/>
  <c r="F44" i="10"/>
  <c r="F59" i="10"/>
  <c r="V49" i="10"/>
  <c r="S49" i="10"/>
  <c r="S63" i="10"/>
  <c r="S54" i="10"/>
  <c r="L44" i="9"/>
  <c r="L54" i="9" s="1"/>
  <c r="K49" i="9"/>
  <c r="K54" i="9"/>
  <c r="AC46" i="9"/>
  <c r="AC63" i="9" s="1"/>
  <c r="K59" i="9"/>
  <c r="AC47" i="9"/>
  <c r="AC42" i="9"/>
  <c r="AC43" i="9"/>
  <c r="AC44" i="9" s="1"/>
  <c r="AC60" i="9" s="1"/>
  <c r="O44" i="9"/>
  <c r="O59" i="9"/>
  <c r="R53" i="9"/>
  <c r="R60" i="9"/>
  <c r="R61" i="9" s="1"/>
  <c r="R48" i="9"/>
  <c r="E62" i="9"/>
  <c r="AC45" i="9"/>
  <c r="I44" i="9"/>
  <c r="I54" i="9" s="1"/>
  <c r="I59" i="9"/>
  <c r="T63" i="9"/>
  <c r="P63" i="9"/>
  <c r="R54" i="9"/>
  <c r="M44" i="9"/>
  <c r="M49" i="9" s="1"/>
  <c r="M59" i="9"/>
  <c r="L49" i="9"/>
  <c r="E53" i="9"/>
  <c r="E60" i="9"/>
  <c r="E61" i="9" s="1"/>
  <c r="E48" i="9"/>
  <c r="P44" i="9"/>
  <c r="P54" i="9" s="1"/>
  <c r="P59" i="9"/>
  <c r="H63" i="9"/>
  <c r="S63" i="9"/>
  <c r="J44" i="9"/>
  <c r="J59" i="9"/>
  <c r="T59" i="9"/>
  <c r="T44" i="9"/>
  <c r="M63" i="9"/>
  <c r="Q53" i="9"/>
  <c r="Q60" i="9"/>
  <c r="Q61" i="9" s="1"/>
  <c r="Q48" i="9"/>
  <c r="K53" i="9"/>
  <c r="K60" i="9"/>
  <c r="K61" i="9" s="1"/>
  <c r="K48" i="9"/>
  <c r="F53" i="9"/>
  <c r="F60" i="9"/>
  <c r="F61" i="9" s="1"/>
  <c r="F48" i="9"/>
  <c r="AA54" i="9"/>
  <c r="O63" i="9"/>
  <c r="O49" i="9"/>
  <c r="N59" i="9"/>
  <c r="N44" i="9"/>
  <c r="G63" i="9"/>
  <c r="Q49" i="9"/>
  <c r="E49" i="9"/>
  <c r="J63" i="9"/>
  <c r="J49" i="9"/>
  <c r="S44" i="9"/>
  <c r="S59" i="9"/>
  <c r="G44" i="9"/>
  <c r="G54" i="9" s="1"/>
  <c r="G59" i="9"/>
  <c r="F54" i="9"/>
  <c r="I63" i="9"/>
  <c r="H59" i="9"/>
  <c r="H44" i="9"/>
  <c r="H49" i="9" s="1"/>
  <c r="AC19" i="9"/>
  <c r="R49" i="9"/>
  <c r="N63" i="9"/>
  <c r="L53" i="9"/>
  <c r="L60" i="9"/>
  <c r="L61" i="9" s="1"/>
  <c r="L48" i="9"/>
  <c r="W52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8" i="5"/>
  <c r="W12" i="5"/>
  <c r="W11" i="5"/>
  <c r="W15" i="5"/>
  <c r="W16" i="5"/>
  <c r="W32" i="5"/>
  <c r="W36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E37" i="5"/>
  <c r="W23" i="5"/>
  <c r="W25" i="5"/>
  <c r="W26" i="5"/>
  <c r="W27" i="5"/>
  <c r="F28" i="5"/>
  <c r="G28" i="5"/>
  <c r="G45" i="5" s="1"/>
  <c r="G62" i="5" s="1"/>
  <c r="H28" i="5"/>
  <c r="H45" i="5" s="1"/>
  <c r="H62" i="5" s="1"/>
  <c r="I28" i="5"/>
  <c r="I45" i="5" s="1"/>
  <c r="I62" i="5" s="1"/>
  <c r="J28" i="5"/>
  <c r="J45" i="5" s="1"/>
  <c r="J62" i="5" s="1"/>
  <c r="K28" i="5"/>
  <c r="L28" i="5"/>
  <c r="M28" i="5"/>
  <c r="N28" i="5"/>
  <c r="O28" i="5"/>
  <c r="P28" i="5"/>
  <c r="P45" i="5" s="1"/>
  <c r="P62" i="5" s="1"/>
  <c r="Q28" i="5"/>
  <c r="Q45" i="5" s="1"/>
  <c r="Q62" i="5" s="1"/>
  <c r="R28" i="5"/>
  <c r="S28" i="5"/>
  <c r="T28" i="5"/>
  <c r="T45" i="5" s="1"/>
  <c r="T62" i="5" s="1"/>
  <c r="U28" i="5"/>
  <c r="V28" i="5"/>
  <c r="V45" i="5" s="1"/>
  <c r="V62" i="5" s="1"/>
  <c r="E28" i="5"/>
  <c r="E45" i="5" s="1"/>
  <c r="E62" i="5" s="1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38" i="5"/>
  <c r="Q17" i="5"/>
  <c r="Q42" i="5" s="1"/>
  <c r="F17" i="5"/>
  <c r="F58" i="5" s="1"/>
  <c r="G17" i="5"/>
  <c r="G58" i="5" s="1"/>
  <c r="H17" i="5"/>
  <c r="H58" i="5" s="1"/>
  <c r="I17" i="5"/>
  <c r="I58" i="5" s="1"/>
  <c r="J17" i="5"/>
  <c r="K17" i="5"/>
  <c r="K58" i="5" s="1"/>
  <c r="L17" i="5"/>
  <c r="M17" i="5"/>
  <c r="M42" i="5" s="1"/>
  <c r="N17" i="5"/>
  <c r="N58" i="5" s="1"/>
  <c r="O17" i="5"/>
  <c r="O42" i="5" s="1"/>
  <c r="P17" i="5"/>
  <c r="P42" i="5" s="1"/>
  <c r="R17" i="5"/>
  <c r="R42" i="5" s="1"/>
  <c r="S17" i="5"/>
  <c r="S58" i="5" s="1"/>
  <c r="T17" i="5"/>
  <c r="T42" i="5" s="1"/>
  <c r="U17" i="5"/>
  <c r="V17" i="5"/>
  <c r="E17" i="5"/>
  <c r="E58" i="5" s="1"/>
  <c r="R41" i="5"/>
  <c r="R57" i="5" s="1"/>
  <c r="U41" i="5"/>
  <c r="U57" i="5" s="1"/>
  <c r="W22" i="5"/>
  <c r="W41" i="5" s="1"/>
  <c r="W57" i="5" s="1"/>
  <c r="W14" i="5"/>
  <c r="W13" i="5"/>
  <c r="W10" i="5"/>
  <c r="X43" i="5"/>
  <c r="F41" i="5"/>
  <c r="F57" i="5" s="1"/>
  <c r="G41" i="5"/>
  <c r="G57" i="5" s="1"/>
  <c r="I41" i="5"/>
  <c r="I57" i="5" s="1"/>
  <c r="M41" i="5"/>
  <c r="M57" i="5" s="1"/>
  <c r="E22" i="5"/>
  <c r="AC59" i="9" l="1"/>
  <c r="M53" i="10"/>
  <c r="M48" i="10"/>
  <c r="M49" i="10"/>
  <c r="M54" i="10"/>
  <c r="R60" i="10"/>
  <c r="R61" i="10" s="1"/>
  <c r="R48" i="10"/>
  <c r="R53" i="10"/>
  <c r="R54" i="10"/>
  <c r="R49" i="10"/>
  <c r="I53" i="10"/>
  <c r="I60" i="10"/>
  <c r="I61" i="10" s="1"/>
  <c r="I48" i="10"/>
  <c r="I49" i="10"/>
  <c r="L53" i="10"/>
  <c r="L60" i="10"/>
  <c r="L61" i="10" s="1"/>
  <c r="L48" i="10"/>
  <c r="L54" i="10"/>
  <c r="L49" i="10"/>
  <c r="E44" i="10"/>
  <c r="E59" i="10"/>
  <c r="W43" i="10"/>
  <c r="W62" i="10"/>
  <c r="W61" i="10"/>
  <c r="U53" i="10"/>
  <c r="U60" i="10"/>
  <c r="U61" i="10" s="1"/>
  <c r="U48" i="10"/>
  <c r="U49" i="10"/>
  <c r="Q53" i="10"/>
  <c r="Q60" i="10"/>
  <c r="Q61" i="10" s="1"/>
  <c r="Q48" i="10"/>
  <c r="Q49" i="10"/>
  <c r="Q54" i="10"/>
  <c r="F60" i="10"/>
  <c r="F61" i="10" s="1"/>
  <c r="F48" i="10"/>
  <c r="F53" i="10"/>
  <c r="F54" i="10"/>
  <c r="F49" i="10"/>
  <c r="I54" i="10"/>
  <c r="O53" i="10"/>
  <c r="O60" i="10"/>
  <c r="O61" i="10" s="1"/>
  <c r="O48" i="10"/>
  <c r="K53" i="10"/>
  <c r="K60" i="10"/>
  <c r="K61" i="10" s="1"/>
  <c r="K48" i="10"/>
  <c r="K54" i="10"/>
  <c r="K49" i="10"/>
  <c r="O49" i="10"/>
  <c r="S60" i="9"/>
  <c r="S61" i="9" s="1"/>
  <c r="S48" i="9"/>
  <c r="S53" i="9"/>
  <c r="N48" i="9"/>
  <c r="N53" i="9"/>
  <c r="N60" i="9"/>
  <c r="N61" i="9" s="1"/>
  <c r="AB53" i="9"/>
  <c r="AB61" i="9"/>
  <c r="T48" i="9"/>
  <c r="T53" i="9"/>
  <c r="T60" i="9"/>
  <c r="T61" i="9" s="1"/>
  <c r="J53" i="9"/>
  <c r="J60" i="9"/>
  <c r="J61" i="9" s="1"/>
  <c r="J48" i="9"/>
  <c r="I48" i="9"/>
  <c r="I53" i="9"/>
  <c r="I60" i="9"/>
  <c r="I61" i="9" s="1"/>
  <c r="N54" i="9"/>
  <c r="J54" i="9"/>
  <c r="S54" i="9"/>
  <c r="AC62" i="9"/>
  <c r="AC61" i="9"/>
  <c r="O48" i="9"/>
  <c r="O53" i="9"/>
  <c r="O60" i="9"/>
  <c r="O61" i="9" s="1"/>
  <c r="H48" i="9"/>
  <c r="H53" i="9"/>
  <c r="H60" i="9"/>
  <c r="H61" i="9" s="1"/>
  <c r="O54" i="9"/>
  <c r="P48" i="9"/>
  <c r="P53" i="9"/>
  <c r="P60" i="9"/>
  <c r="P61" i="9" s="1"/>
  <c r="M60" i="9"/>
  <c r="M61" i="9" s="1"/>
  <c r="M53" i="9"/>
  <c r="M48" i="9"/>
  <c r="T54" i="9"/>
  <c r="N49" i="9"/>
  <c r="G60" i="9"/>
  <c r="G61" i="9" s="1"/>
  <c r="G48" i="9"/>
  <c r="G53" i="9"/>
  <c r="M54" i="9"/>
  <c r="S49" i="9"/>
  <c r="I49" i="9"/>
  <c r="AB54" i="9"/>
  <c r="G49" i="9"/>
  <c r="AA53" i="9"/>
  <c r="AA61" i="9"/>
  <c r="H54" i="9"/>
  <c r="P49" i="9"/>
  <c r="T49" i="9"/>
  <c r="K42" i="5"/>
  <c r="Q58" i="5"/>
  <c r="L39" i="5"/>
  <c r="F46" i="5"/>
  <c r="F63" i="5" s="1"/>
  <c r="O39" i="5"/>
  <c r="I39" i="5"/>
  <c r="U46" i="5"/>
  <c r="U63" i="5" s="1"/>
  <c r="O46" i="5"/>
  <c r="O63" i="5" s="1"/>
  <c r="J19" i="5"/>
  <c r="J43" i="5" s="1"/>
  <c r="J44" i="5" s="1"/>
  <c r="H42" i="5"/>
  <c r="R39" i="5"/>
  <c r="K39" i="5"/>
  <c r="U19" i="5"/>
  <c r="U43" i="5" s="1"/>
  <c r="U44" i="5" s="1"/>
  <c r="U48" i="5" s="1"/>
  <c r="T58" i="5"/>
  <c r="L19" i="5"/>
  <c r="L43" i="5" s="1"/>
  <c r="L59" i="5" s="1"/>
  <c r="W18" i="5"/>
  <c r="G19" i="5"/>
  <c r="G43" i="5" s="1"/>
  <c r="M58" i="5"/>
  <c r="R19" i="5"/>
  <c r="R43" i="5" s="1"/>
  <c r="R59" i="5" s="1"/>
  <c r="S19" i="5"/>
  <c r="S43" i="5" s="1"/>
  <c r="S59" i="5" s="1"/>
  <c r="H19" i="5"/>
  <c r="H43" i="5" s="1"/>
  <c r="H59" i="5" s="1"/>
  <c r="S42" i="5"/>
  <c r="F47" i="5"/>
  <c r="V39" i="5"/>
  <c r="P39" i="5"/>
  <c r="E39" i="5"/>
  <c r="Q39" i="5"/>
  <c r="K46" i="5"/>
  <c r="K63" i="5" s="1"/>
  <c r="S39" i="5"/>
  <c r="M39" i="5"/>
  <c r="G39" i="5"/>
  <c r="N19" i="5"/>
  <c r="N43" i="5" s="1"/>
  <c r="N59" i="5" s="1"/>
  <c r="U58" i="5"/>
  <c r="I42" i="5"/>
  <c r="P58" i="5"/>
  <c r="E19" i="5"/>
  <c r="E43" i="5" s="1"/>
  <c r="E44" i="5" s="1"/>
  <c r="E60" i="5" s="1"/>
  <c r="E61" i="5" s="1"/>
  <c r="I19" i="5"/>
  <c r="I43" i="5" s="1"/>
  <c r="I44" i="5" s="1"/>
  <c r="I60" i="5" s="1"/>
  <c r="I61" i="5" s="1"/>
  <c r="N42" i="5"/>
  <c r="E42" i="5"/>
  <c r="U45" i="5"/>
  <c r="U62" i="5" s="1"/>
  <c r="Q46" i="5"/>
  <c r="Q63" i="5" s="1"/>
  <c r="P47" i="5"/>
  <c r="F45" i="5"/>
  <c r="F62" i="5" s="1"/>
  <c r="U42" i="5"/>
  <c r="S41" i="5"/>
  <c r="S57" i="5" s="1"/>
  <c r="L58" i="5"/>
  <c r="F42" i="5"/>
  <c r="R58" i="5"/>
  <c r="O19" i="5"/>
  <c r="O43" i="5" s="1"/>
  <c r="O44" i="5" s="1"/>
  <c r="P19" i="5"/>
  <c r="P43" i="5" s="1"/>
  <c r="P59" i="5" s="1"/>
  <c r="R47" i="5"/>
  <c r="T46" i="5"/>
  <c r="T63" i="5" s="1"/>
  <c r="N39" i="5"/>
  <c r="H46" i="5"/>
  <c r="P41" i="5"/>
  <c r="P57" i="5" s="1"/>
  <c r="F39" i="5"/>
  <c r="L42" i="5"/>
  <c r="J47" i="5"/>
  <c r="O47" i="5"/>
  <c r="U47" i="5"/>
  <c r="J42" i="5"/>
  <c r="J46" i="5"/>
  <c r="J63" i="5" s="1"/>
  <c r="O41" i="5"/>
  <c r="O57" i="5" s="1"/>
  <c r="L41" i="5"/>
  <c r="L57" i="5" s="1"/>
  <c r="H39" i="5"/>
  <c r="N47" i="5"/>
  <c r="H47" i="5"/>
  <c r="T19" i="5"/>
  <c r="T43" i="5" s="1"/>
  <c r="T59" i="5" s="1"/>
  <c r="G42" i="5"/>
  <c r="N41" i="5"/>
  <c r="N57" i="5" s="1"/>
  <c r="J41" i="5"/>
  <c r="J57" i="5" s="1"/>
  <c r="O45" i="5"/>
  <c r="O62" i="5" s="1"/>
  <c r="S46" i="5"/>
  <c r="S63" i="5" s="1"/>
  <c r="M47" i="5"/>
  <c r="K19" i="5"/>
  <c r="K43" i="5" s="1"/>
  <c r="V47" i="5"/>
  <c r="J58" i="5"/>
  <c r="F19" i="5"/>
  <c r="F43" i="5" s="1"/>
  <c r="F59" i="5" s="1"/>
  <c r="O58" i="5"/>
  <c r="P46" i="5"/>
  <c r="P63" i="5" s="1"/>
  <c r="L47" i="5"/>
  <c r="J39" i="5"/>
  <c r="Q19" i="5"/>
  <c r="Q43" i="5" s="1"/>
  <c r="Q59" i="5" s="1"/>
  <c r="V41" i="5"/>
  <c r="V57" i="5" s="1"/>
  <c r="U39" i="5"/>
  <c r="M45" i="5"/>
  <c r="M62" i="5" s="1"/>
  <c r="M46" i="5"/>
  <c r="M63" i="5" s="1"/>
  <c r="R46" i="5"/>
  <c r="R63" i="5" s="1"/>
  <c r="E47" i="5"/>
  <c r="V46" i="5"/>
  <c r="V63" i="5" s="1"/>
  <c r="E46" i="5"/>
  <c r="K45" i="5"/>
  <c r="K62" i="5" s="1"/>
  <c r="R45" i="5"/>
  <c r="R62" i="5" s="1"/>
  <c r="K47" i="5"/>
  <c r="L45" i="5"/>
  <c r="L62" i="5" s="1"/>
  <c r="G47" i="5"/>
  <c r="L46" i="5"/>
  <c r="G46" i="5"/>
  <c r="G63" i="5" s="1"/>
  <c r="I46" i="5"/>
  <c r="I47" i="5"/>
  <c r="W31" i="5"/>
  <c r="T41" i="5"/>
  <c r="T57" i="5" s="1"/>
  <c r="S47" i="5"/>
  <c r="S45" i="5"/>
  <c r="S62" i="5" s="1"/>
  <c r="T47" i="5"/>
  <c r="T39" i="5"/>
  <c r="M19" i="5"/>
  <c r="M43" i="5" s="1"/>
  <c r="V42" i="5"/>
  <c r="V19" i="5"/>
  <c r="V43" i="5" s="1"/>
  <c r="V58" i="5"/>
  <c r="W37" i="5"/>
  <c r="W39" i="5" s="1"/>
  <c r="Q41" i="5"/>
  <c r="Q57" i="5" s="1"/>
  <c r="W17" i="5"/>
  <c r="W58" i="5" s="1"/>
  <c r="E31" i="5"/>
  <c r="E41" i="5"/>
  <c r="E57" i="5" s="1"/>
  <c r="H41" i="5"/>
  <c r="H57" i="5" s="1"/>
  <c r="N46" i="5"/>
  <c r="N45" i="5"/>
  <c r="W28" i="5"/>
  <c r="K41" i="5"/>
  <c r="K57" i="5" s="1"/>
  <c r="Q47" i="5"/>
  <c r="W44" i="10" l="1"/>
  <c r="W60" i="10" s="1"/>
  <c r="W59" i="10"/>
  <c r="E53" i="10"/>
  <c r="W53" i="10" s="1"/>
  <c r="E60" i="10"/>
  <c r="E61" i="10" s="1"/>
  <c r="E48" i="10"/>
  <c r="W48" i="10" s="1"/>
  <c r="E49" i="10"/>
  <c r="W49" i="10" s="1"/>
  <c r="E54" i="10"/>
  <c r="W54" i="10" s="1"/>
  <c r="AC49" i="9"/>
  <c r="AC53" i="9"/>
  <c r="AC48" i="9"/>
  <c r="AC54" i="9"/>
  <c r="U60" i="5"/>
  <c r="U61" i="5" s="1"/>
  <c r="J59" i="5"/>
  <c r="U49" i="5"/>
  <c r="U59" i="5"/>
  <c r="U54" i="5"/>
  <c r="U53" i="5"/>
  <c r="R44" i="5"/>
  <c r="R54" i="5" s="1"/>
  <c r="W43" i="5"/>
  <c r="W44" i="5" s="1"/>
  <c r="W60" i="5" s="1"/>
  <c r="F44" i="5"/>
  <c r="F54" i="5" s="1"/>
  <c r="L44" i="5"/>
  <c r="L60" i="5" s="1"/>
  <c r="L61" i="5" s="1"/>
  <c r="H44" i="5"/>
  <c r="H49" i="5" s="1"/>
  <c r="P44" i="5"/>
  <c r="P54" i="5" s="1"/>
  <c r="N44" i="5"/>
  <c r="N53" i="5" s="1"/>
  <c r="I59" i="5"/>
  <c r="S44" i="5"/>
  <c r="S60" i="5" s="1"/>
  <c r="S61" i="5" s="1"/>
  <c r="E59" i="5"/>
  <c r="O59" i="5"/>
  <c r="T44" i="5"/>
  <c r="T48" i="5" s="1"/>
  <c r="E48" i="5"/>
  <c r="H63" i="5"/>
  <c r="J49" i="5"/>
  <c r="O48" i="5"/>
  <c r="O60" i="5"/>
  <c r="O61" i="5" s="1"/>
  <c r="O49" i="5"/>
  <c r="O53" i="5"/>
  <c r="O54" i="5"/>
  <c r="Q44" i="5"/>
  <c r="Q54" i="5" s="1"/>
  <c r="K59" i="5"/>
  <c r="K44" i="5"/>
  <c r="W42" i="5"/>
  <c r="I54" i="5"/>
  <c r="I63" i="5"/>
  <c r="J54" i="5"/>
  <c r="I53" i="5"/>
  <c r="E54" i="5"/>
  <c r="E63" i="5"/>
  <c r="E49" i="5"/>
  <c r="L63" i="5"/>
  <c r="W46" i="5"/>
  <c r="W63" i="5" s="1"/>
  <c r="I48" i="5"/>
  <c r="I49" i="5"/>
  <c r="E53" i="5"/>
  <c r="W47" i="5"/>
  <c r="V59" i="5"/>
  <c r="V44" i="5"/>
  <c r="G59" i="5"/>
  <c r="G44" i="5"/>
  <c r="M44" i="5"/>
  <c r="M59" i="5"/>
  <c r="N62" i="5"/>
  <c r="W45" i="5"/>
  <c r="N63" i="5"/>
  <c r="N49" i="5"/>
  <c r="J60" i="5"/>
  <c r="J61" i="5" s="1"/>
  <c r="J48" i="5"/>
  <c r="J53" i="5"/>
  <c r="W19" i="5"/>
  <c r="N54" i="5" l="1"/>
  <c r="R49" i="5"/>
  <c r="N60" i="5"/>
  <c r="N61" i="5" s="1"/>
  <c r="R53" i="5"/>
  <c r="N48" i="5"/>
  <c r="L54" i="5"/>
  <c r="W59" i="5"/>
  <c r="R60" i="5"/>
  <c r="R61" i="5" s="1"/>
  <c r="H60" i="5"/>
  <c r="H61" i="5" s="1"/>
  <c r="L49" i="5"/>
  <c r="F49" i="5"/>
  <c r="R48" i="5"/>
  <c r="L48" i="5"/>
  <c r="P53" i="5"/>
  <c r="L53" i="5"/>
  <c r="P49" i="5"/>
  <c r="S48" i="5"/>
  <c r="F53" i="5"/>
  <c r="S53" i="5"/>
  <c r="F60" i="5"/>
  <c r="F61" i="5" s="1"/>
  <c r="P60" i="5"/>
  <c r="P61" i="5" s="1"/>
  <c r="S54" i="5"/>
  <c r="F48" i="5"/>
  <c r="P48" i="5"/>
  <c r="S49" i="5"/>
  <c r="H53" i="5"/>
  <c r="H48" i="5"/>
  <c r="H54" i="5"/>
  <c r="Q60" i="5"/>
  <c r="Q61" i="5" s="1"/>
  <c r="T60" i="5"/>
  <c r="T61" i="5" s="1"/>
  <c r="Q48" i="5"/>
  <c r="T53" i="5"/>
  <c r="T54" i="5"/>
  <c r="T49" i="5"/>
  <c r="Q49" i="5"/>
  <c r="Q53" i="5"/>
  <c r="K60" i="5"/>
  <c r="K61" i="5" s="1"/>
  <c r="K48" i="5"/>
  <c r="K49" i="5"/>
  <c r="K54" i="5"/>
  <c r="K53" i="5"/>
  <c r="G53" i="5"/>
  <c r="G60" i="5"/>
  <c r="G61" i="5" s="1"/>
  <c r="G49" i="5"/>
  <c r="G48" i="5"/>
  <c r="G54" i="5"/>
  <c r="M53" i="5"/>
  <c r="M48" i="5"/>
  <c r="M49" i="5"/>
  <c r="M60" i="5"/>
  <c r="M61" i="5" s="1"/>
  <c r="M54" i="5"/>
  <c r="V53" i="5"/>
  <c r="V60" i="5"/>
  <c r="V61" i="5" s="1"/>
  <c r="V48" i="5"/>
  <c r="V49" i="5"/>
  <c r="V54" i="5"/>
  <c r="W61" i="5"/>
  <c r="W62" i="5"/>
  <c r="W53" i="5" l="1"/>
  <c r="W49" i="5"/>
  <c r="W54" i="5"/>
  <c r="W48" i="5"/>
</calcChain>
</file>

<file path=xl/sharedStrings.xml><?xml version="1.0" encoding="utf-8"?>
<sst xmlns="http://schemas.openxmlformats.org/spreadsheetml/2006/main" count="579" uniqueCount="114">
  <si>
    <t>Distribution of Timesheet Accounting and Projections</t>
  </si>
  <si>
    <t>Help Contents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</si>
  <si>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</si>
  <si>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</si>
  <si>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</si>
  <si>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</si>
  <si>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</si>
  <si>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</si>
  <si>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</si>
  <si>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</si>
  <si>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</si>
  <si>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</si>
  <si>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</si>
  <si>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</si>
  <si>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Committed hours for projects</t>
  </si>
  <si>
    <t>Prj No</t>
  </si>
  <si>
    <t>Project Name</t>
  </si>
  <si>
    <t>Manhours required</t>
  </si>
  <si>
    <t>Cost Centre Name</t>
  </si>
  <si>
    <t>Cost Centre Head</t>
  </si>
  <si>
    <t>Summary for the Cost Centre</t>
  </si>
  <si>
    <t>Parent Cost Centre Code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</si>
  <si>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</si>
  <si>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</si>
  <si>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</si>
  <si>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</si>
  <si>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</si>
  <si>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</si>
  <si>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</si>
  <si>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</si>
  <si>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</si>
  <si>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</si>
  <si>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</si>
  <si>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CHA-1E.     Projection of Available manhours and committed man-hours against projects</t>
  </si>
  <si>
    <t xml:space="preserve"> (ACTUAL AND EXPECTED)</t>
  </si>
  <si>
    <t>CHA-1E</t>
  </si>
  <si>
    <t>and the graph is plotted with these parameters.</t>
  </si>
  <si>
    <t>In the first part of this sheet, total available man-hours is computed.</t>
  </si>
  <si>
    <t xml:space="preserve">In the second part committed man-hours is picked-up from the master data base </t>
  </si>
  <si>
    <r>
      <t xml:space="preserve">In the third part committed man-hours of </t>
    </r>
    <r>
      <rPr>
        <b/>
        <sz val="10"/>
        <rFont val="Arial"/>
        <family val="2"/>
      </rPr>
      <t>Expected Job</t>
    </r>
    <r>
      <rPr>
        <sz val="10"/>
        <rFont val="Arial"/>
        <family val="2"/>
      </rPr>
      <t xml:space="preserve">s is picked-up  </t>
    </r>
  </si>
  <si>
    <t xml:space="preserve">This spreadsheet consists of a module. </t>
  </si>
  <si>
    <t>This is a total of all the departments (enginerring departments)</t>
  </si>
  <si>
    <t>Cha1Expt</t>
  </si>
  <si>
    <t>Committed hours for projects (D)</t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</si>
  <si>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</si>
  <si>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t>Total</t>
  </si>
  <si>
    <t>Overtime %  (F)</t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</si>
  <si>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</si>
  <si>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r>
      <t>Estimated hours/mth</t>
    </r>
    <r>
      <rPr>
        <b/>
        <sz val="10"/>
        <rFont val="Times New Roman"/>
        <family val="1"/>
      </rPr>
      <t xml:space="preserve">  (EHM) **</t>
    </r>
  </si>
  <si>
    <t>Available hours (A)  =  N * EHM</t>
  </si>
  <si>
    <t>Available hours after Movement (C)   = A + B</t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</si>
  <si>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</si>
  <si>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t>Committed hours for Expected projects</t>
  </si>
  <si>
    <t>Committed hours for Expected projects (E)</t>
  </si>
  <si>
    <t>Actual No. of  employees &amp; Consultants (N)</t>
  </si>
  <si>
    <t>No of employees as per payroll</t>
  </si>
  <si>
    <t>Committed hours for Expected projects - Active - (J)</t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</si>
  <si>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</si>
  <si>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t>Committed hours for Expected projects - Future</t>
  </si>
  <si>
    <t>TCM No.</t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</si>
  <si>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</si>
  <si>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t xml:space="preserve">Processing Month     :  </t>
  </si>
  <si>
    <t>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</si>
  <si>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</si>
  <si>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t>## Includes Movement to TCM,Sofr,TPI and Within TCMPL Office Dept.</t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</si>
  <si>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</si>
  <si>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</si>
  <si>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</si>
  <si>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</si>
  <si>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</si>
  <si>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</si>
  <si>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</si>
  <si>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</si>
  <si>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</si>
  <si>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</si>
  <si>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</si>
  <si>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</si>
  <si>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</si>
  <si>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</si>
  <si>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</si>
  <si>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</si>
  <si>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</si>
  <si>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</si>
  <si>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</si>
  <si>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</si>
  <si>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</si>
  <si>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</si>
  <si>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</si>
  <si>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{{item.projno}}</t>
  </si>
  <si>
    <t>{{item.tcmno}}</t>
  </si>
  <si>
    <t>{{item.name}}</t>
  </si>
  <si>
    <t>{{item.s}}</t>
  </si>
  <si>
    <t>{{item.t}}</t>
  </si>
  <si>
    <t>{{item.u}}</t>
  </si>
  <si>
    <t>{{item.v}}</t>
  </si>
  <si>
    <t>{{item.w}}</t>
  </si>
  <si>
    <t>{{item.x}}</t>
  </si>
  <si>
    <t>Tecnimont  Pvt. Ltd.</t>
  </si>
  <si>
    <t>Manhours  Estimation</t>
  </si>
  <si>
    <t>TMA</t>
  </si>
  <si>
    <t>{{item.newcostcode}}</t>
  </si>
  <si>
    <t>{{item.active}}</t>
  </si>
  <si>
    <t>&lt;&lt;group TotalLabel="Total"&gt;&gt;</t>
  </si>
  <si>
    <t>&lt;&lt;sum&gt;&gt;</t>
  </si>
  <si>
    <t>xxx</t>
  </si>
  <si>
    <t>Available hours (A)</t>
  </si>
  <si>
    <t>Available hours after MOW  (C)</t>
  </si>
  <si>
    <t>Available hours after MOW with Overtime(G) =C+(F*C)</t>
  </si>
  <si>
    <t>Committed hours (D)</t>
  </si>
  <si>
    <t xml:space="preserve">Committed hours with Expected Projects (H) = D+E </t>
  </si>
  <si>
    <t>Committed hours with Expected proj, Active (K) = D+J</t>
  </si>
  <si>
    <t>Balance available (I) = (G) - (H)</t>
  </si>
  <si>
    <t>Available hours after MOW with Overtime(G) = C+(F*C)</t>
  </si>
  <si>
    <t>Available hours after MOW with OT + Subcont (N)=G+L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</si>
</sst>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00000"/>
    <numFmt numFmtId="166" formatCode="0.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0" fillId="0" borderId="2" xfId="0" applyFont="1" applyBorder="1"/>
    <xf numFmtId="0" fontId="0" fillId="0" borderId="2" xfId="0" applyBorder="1"/>
    <xf numFmtId="0" fontId="3" fillId="0" borderId="12" xfId="0" applyFont="1" applyBorder="1" applyAlignment="1">
      <alignment horizontal="center"/>
    </xf>
    <xf numFmtId="0" fontId="9" fillId="0" borderId="5" xfId="0" applyFont="1" applyBorder="1"/>
    <xf numFmtId="0" fontId="3" fillId="0" borderId="13" xfId="0" applyFont="1" applyBorder="1"/>
    <xf numFmtId="0" fontId="3" fillId="0" borderId="14" xfId="0" applyFont="1" applyBorder="1"/>
    <xf numFmtId="0" fontId="8" fillId="0" borderId="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164" fontId="8" fillId="0" borderId="19" xfId="0" applyNumberFormat="1" applyFont="1" applyBorder="1"/>
    <xf numFmtId="164" fontId="3" fillId="0" borderId="20" xfId="0" applyNumberFormat="1" applyFont="1" applyBorder="1" applyAlignment="1">
      <alignment horizontal="right"/>
    </xf>
    <xf numFmtId="164" fontId="3" fillId="0" borderId="21" xfId="0" applyNumberFormat="1" applyFont="1" applyBorder="1" applyAlignment="1">
      <alignment horizontal="right"/>
    </xf>
    <xf numFmtId="15" fontId="9" fillId="0" borderId="0" xfId="0" applyNumberFormat="1" applyFont="1" applyBorder="1" applyAlignment="1">
      <alignment horizontal="centerContinuous"/>
    </xf>
    <xf numFmtId="0" fontId="9" fillId="0" borderId="0" xfId="0" applyFont="1" applyBorder="1"/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3" fillId="0" borderId="5" xfId="0" applyFont="1" applyBorder="1" applyAlignment="1">
      <alignment horizontal="centerContinuous"/>
    </xf>
    <xf numFmtId="0" fontId="14" fillId="0" borderId="0" xfId="0" applyFont="1" applyBorder="1" applyAlignment="1">
      <alignment horizontal="centerContinuous"/>
    </xf>
    <xf numFmtId="0" fontId="14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6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4" xfId="0" applyFont="1" applyBorder="1" applyAlignment="1">
      <alignment horizontal="centerContinuous"/>
    </xf>
    <xf numFmtId="0" fontId="15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8" fillId="0" borderId="2" xfId="0" applyFont="1" applyBorder="1"/>
    <xf numFmtId="0" fontId="8" fillId="0" borderId="26" xfId="0" applyFont="1" applyBorder="1" applyAlignment="1">
      <alignment horizontal="right"/>
    </xf>
    <xf numFmtId="0" fontId="8" fillId="0" borderId="3" xfId="0" applyFont="1" applyBorder="1"/>
    <xf numFmtId="0" fontId="8" fillId="0" borderId="5" xfId="0" applyFont="1" applyBorder="1"/>
    <xf numFmtId="164" fontId="8" fillId="0" borderId="19" xfId="0" applyNumberFormat="1" applyFont="1" applyBorder="1" applyAlignment="1">
      <alignment horizontal="right"/>
    </xf>
    <xf numFmtId="165" fontId="3" fillId="0" borderId="2" xfId="0" applyNumberFormat="1" applyFont="1" applyBorder="1"/>
    <xf numFmtId="165" fontId="3" fillId="0" borderId="0" xfId="0" applyNumberFormat="1" applyFont="1" applyBorder="1"/>
    <xf numFmtId="165" fontId="3" fillId="0" borderId="13" xfId="0" applyNumberFormat="1" applyFont="1" applyBorder="1"/>
    <xf numFmtId="165" fontId="8" fillId="0" borderId="7" xfId="0" applyNumberFormat="1" applyFont="1" applyBorder="1"/>
    <xf numFmtId="165" fontId="8" fillId="0" borderId="0" xfId="0" applyNumberFormat="1" applyFont="1" applyBorder="1"/>
    <xf numFmtId="165" fontId="8" fillId="0" borderId="2" xfId="0" applyNumberFormat="1" applyFont="1" applyBorder="1"/>
    <xf numFmtId="165" fontId="3" fillId="0" borderId="17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0" fontId="16" fillId="0" borderId="0" xfId="0" applyFont="1" applyBorder="1"/>
    <xf numFmtId="164" fontId="8" fillId="0" borderId="7" xfId="0" applyNumberFormat="1" applyFont="1" applyBorder="1" applyAlignment="1">
      <alignment horizontal="right"/>
    </xf>
    <xf numFmtId="0" fontId="3" fillId="0" borderId="22" xfId="0" applyFont="1" applyBorder="1"/>
    <xf numFmtId="165" fontId="3" fillId="0" borderId="23" xfId="0" applyNumberFormat="1" applyFont="1" applyBorder="1"/>
    <xf numFmtId="0" fontId="3" fillId="0" borderId="23" xfId="0" applyFont="1" applyBorder="1"/>
    <xf numFmtId="1" fontId="8" fillId="0" borderId="19" xfId="0" applyNumberFormat="1" applyFont="1" applyBorder="1" applyAlignment="1">
      <alignment horizontal="right"/>
    </xf>
    <xf numFmtId="0" fontId="8" fillId="0" borderId="6" xfId="0" applyFont="1" applyFill="1" applyBorder="1"/>
    <xf numFmtId="165" fontId="8" fillId="0" borderId="7" xfId="0" applyNumberFormat="1" applyFont="1" applyFill="1" applyBorder="1"/>
    <xf numFmtId="0" fontId="8" fillId="0" borderId="7" xfId="0" applyFont="1" applyFill="1" applyBorder="1"/>
    <xf numFmtId="164" fontId="8" fillId="0" borderId="19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0" fontId="8" fillId="0" borderId="5" xfId="0" applyFont="1" applyBorder="1" applyAlignment="1">
      <alignment vertical="top"/>
    </xf>
    <xf numFmtId="0" fontId="8" fillId="0" borderId="27" xfId="0" applyFont="1" applyBorder="1"/>
    <xf numFmtId="165" fontId="8" fillId="0" borderId="28" xfId="0" applyNumberFormat="1" applyFont="1" applyBorder="1"/>
    <xf numFmtId="0" fontId="8" fillId="0" borderId="28" xfId="0" applyFont="1" applyBorder="1"/>
    <xf numFmtId="164" fontId="8" fillId="0" borderId="29" xfId="0" applyNumberFormat="1" applyFont="1" applyBorder="1"/>
    <xf numFmtId="0" fontId="8" fillId="0" borderId="30" xfId="0" applyFont="1" applyBorder="1"/>
    <xf numFmtId="0" fontId="8" fillId="0" borderId="31" xfId="0" applyFont="1" applyBorder="1"/>
    <xf numFmtId="165" fontId="8" fillId="0" borderId="31" xfId="0" applyNumberFormat="1" applyFont="1" applyBorder="1"/>
    <xf numFmtId="0" fontId="8" fillId="0" borderId="32" xfId="0" applyFont="1" applyBorder="1"/>
    <xf numFmtId="0" fontId="8" fillId="0" borderId="33" xfId="0" applyFont="1" applyBorder="1"/>
    <xf numFmtId="164" fontId="8" fillId="0" borderId="34" xfId="0" applyNumberFormat="1" applyFont="1" applyBorder="1"/>
    <xf numFmtId="164" fontId="8" fillId="0" borderId="35" xfId="0" applyNumberFormat="1" applyFont="1" applyBorder="1"/>
    <xf numFmtId="0" fontId="8" fillId="0" borderId="36" xfId="0" applyFont="1" applyBorder="1"/>
    <xf numFmtId="0" fontId="8" fillId="0" borderId="37" xfId="0" applyFont="1" applyBorder="1"/>
    <xf numFmtId="165" fontId="8" fillId="0" borderId="37" xfId="0" applyNumberFormat="1" applyFont="1" applyBorder="1"/>
    <xf numFmtId="0" fontId="8" fillId="0" borderId="38" xfId="0" applyFont="1" applyBorder="1"/>
    <xf numFmtId="0" fontId="8" fillId="0" borderId="39" xfId="0" applyFont="1" applyBorder="1"/>
    <xf numFmtId="164" fontId="8" fillId="0" borderId="40" xfId="0" applyNumberFormat="1" applyFont="1" applyBorder="1"/>
    <xf numFmtId="164" fontId="8" fillId="0" borderId="39" xfId="0" applyNumberFormat="1" applyFont="1" applyBorder="1"/>
    <xf numFmtId="0" fontId="8" fillId="0" borderId="41" xfId="0" applyFont="1" applyBorder="1"/>
    <xf numFmtId="164" fontId="3" fillId="0" borderId="36" xfId="0" applyNumberFormat="1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35" xfId="0" applyNumberFormat="1" applyFont="1" applyBorder="1" applyAlignment="1">
      <alignment horizontal="right"/>
    </xf>
    <xf numFmtId="0" fontId="3" fillId="0" borderId="8" xfId="0" applyFont="1" applyBorder="1"/>
    <xf numFmtId="0" fontId="3" fillId="0" borderId="24" xfId="0" applyFont="1" applyBorder="1" applyAlignment="1">
      <alignment horizontal="center"/>
    </xf>
    <xf numFmtId="0" fontId="3" fillId="0" borderId="32" xfId="0" applyFont="1" applyBorder="1"/>
    <xf numFmtId="165" fontId="3" fillId="0" borderId="33" xfId="0" applyNumberFormat="1" applyFont="1" applyBorder="1"/>
    <xf numFmtId="0" fontId="3" fillId="0" borderId="33" xfId="0" applyFont="1" applyBorder="1"/>
    <xf numFmtId="0" fontId="3" fillId="0" borderId="35" xfId="0" applyFont="1" applyBorder="1" applyAlignment="1">
      <alignment horizontal="center"/>
    </xf>
    <xf numFmtId="0" fontId="3" fillId="0" borderId="43" xfId="0" applyFont="1" applyBorder="1"/>
    <xf numFmtId="165" fontId="3" fillId="0" borderId="44" xfId="0" applyNumberFormat="1" applyFont="1" applyBorder="1"/>
    <xf numFmtId="0" fontId="3" fillId="0" borderId="44" xfId="0" applyFont="1" applyBorder="1"/>
    <xf numFmtId="0" fontId="3" fillId="0" borderId="46" xfId="0" applyFont="1" applyBorder="1" applyAlignment="1">
      <alignment horizontal="center"/>
    </xf>
    <xf numFmtId="0" fontId="3" fillId="0" borderId="36" xfId="0" applyFont="1" applyBorder="1"/>
    <xf numFmtId="0" fontId="3" fillId="0" borderId="47" xfId="0" applyFont="1" applyFill="1" applyBorder="1"/>
    <xf numFmtId="165" fontId="3" fillId="0" borderId="48" xfId="0" applyNumberFormat="1" applyFont="1" applyFill="1" applyBorder="1"/>
    <xf numFmtId="0" fontId="3" fillId="0" borderId="48" xfId="0" applyFont="1" applyFill="1" applyBorder="1"/>
    <xf numFmtId="164" fontId="3" fillId="0" borderId="48" xfId="0" applyNumberFormat="1" applyFont="1" applyFill="1" applyBorder="1" applyAlignment="1">
      <alignment horizontal="right"/>
    </xf>
    <xf numFmtId="0" fontId="3" fillId="0" borderId="49" xfId="0" applyFont="1" applyFill="1" applyBorder="1"/>
    <xf numFmtId="165" fontId="3" fillId="0" borderId="50" xfId="0" applyNumberFormat="1" applyFont="1" applyFill="1" applyBorder="1"/>
    <xf numFmtId="0" fontId="3" fillId="0" borderId="50" xfId="0" applyFont="1" applyFill="1" applyBorder="1"/>
    <xf numFmtId="164" fontId="3" fillId="0" borderId="50" xfId="0" applyNumberFormat="1" applyFont="1" applyFill="1" applyBorder="1" applyAlignment="1">
      <alignment horizontal="right"/>
    </xf>
    <xf numFmtId="0" fontId="3" fillId="0" borderId="51" xfId="0" applyFont="1" applyFill="1" applyBorder="1"/>
    <xf numFmtId="165" fontId="3" fillId="0" borderId="52" xfId="0" applyNumberFormat="1" applyFont="1" applyFill="1" applyBorder="1"/>
    <xf numFmtId="0" fontId="3" fillId="0" borderId="52" xfId="0" applyFont="1" applyFill="1" applyBorder="1"/>
    <xf numFmtId="164" fontId="3" fillId="0" borderId="52" xfId="0" applyNumberFormat="1" applyFont="1" applyFill="1" applyBorder="1" applyAlignment="1">
      <alignment horizontal="right"/>
    </xf>
    <xf numFmtId="0" fontId="3" fillId="0" borderId="53" xfId="0" applyFont="1" applyFill="1" applyBorder="1"/>
    <xf numFmtId="0" fontId="3" fillId="0" borderId="46" xfId="0" applyFont="1" applyFill="1" applyBorder="1"/>
    <xf numFmtId="0" fontId="3" fillId="0" borderId="18" xfId="0" applyFont="1" applyFill="1" applyBorder="1"/>
    <xf numFmtId="164" fontId="3" fillId="0" borderId="54" xfId="0" applyNumberFormat="1" applyFont="1" applyFill="1" applyBorder="1" applyAlignment="1">
      <alignment horizontal="right"/>
    </xf>
    <xf numFmtId="164" fontId="3" fillId="0" borderId="45" xfId="0" applyNumberFormat="1" applyFont="1" applyFill="1" applyBorder="1" applyAlignment="1">
      <alignment horizontal="right"/>
    </xf>
    <xf numFmtId="164" fontId="3" fillId="0" borderId="21" xfId="0" applyNumberFormat="1" applyFont="1" applyFill="1" applyBorder="1" applyAlignment="1">
      <alignment horizontal="right"/>
    </xf>
    <xf numFmtId="165" fontId="3" fillId="0" borderId="13" xfId="0" applyNumberFormat="1" applyFont="1" applyFill="1" applyBorder="1"/>
    <xf numFmtId="0" fontId="3" fillId="0" borderId="13" xfId="0" applyFont="1" applyFill="1" applyBorder="1"/>
    <xf numFmtId="164" fontId="3" fillId="0" borderId="20" xfId="0" applyNumberFormat="1" applyFont="1" applyFill="1" applyBorder="1" applyAlignment="1">
      <alignment horizontal="right"/>
    </xf>
    <xf numFmtId="0" fontId="3" fillId="0" borderId="14" xfId="0" applyFont="1" applyFill="1" applyBorder="1"/>
    <xf numFmtId="164" fontId="8" fillId="0" borderId="55" xfId="0" applyNumberFormat="1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Alignment="1">
      <alignment vertical="top"/>
    </xf>
    <xf numFmtId="49" fontId="3" fillId="0" borderId="57" xfId="0" applyNumberFormat="1" applyFont="1" applyBorder="1" applyAlignment="1">
      <alignment horizontal="right"/>
    </xf>
    <xf numFmtId="166" fontId="3" fillId="0" borderId="34" xfId="0" applyNumberFormat="1" applyFont="1" applyBorder="1" applyAlignment="1">
      <alignment horizontal="right"/>
    </xf>
    <xf numFmtId="166" fontId="3" fillId="0" borderId="34" xfId="0" applyNumberFormat="1" applyFont="1" applyBorder="1" applyAlignment="1">
      <alignment horizontal="center"/>
    </xf>
    <xf numFmtId="49" fontId="3" fillId="0" borderId="56" xfId="0" applyNumberFormat="1" applyFont="1" applyBorder="1" applyAlignment="1">
      <alignment horizontal="right"/>
    </xf>
    <xf numFmtId="166" fontId="3" fillId="0" borderId="40" xfId="0" applyNumberFormat="1" applyFont="1" applyBorder="1" applyAlignment="1">
      <alignment horizontal="center"/>
    </xf>
    <xf numFmtId="49" fontId="3" fillId="0" borderId="58" xfId="0" applyNumberFormat="1" applyFont="1" applyBorder="1" applyAlignment="1">
      <alignment horizontal="right"/>
    </xf>
    <xf numFmtId="166" fontId="3" fillId="0" borderId="50" xfId="0" applyNumberFormat="1" applyFont="1" applyBorder="1" applyAlignment="1">
      <alignment horizontal="right"/>
    </xf>
    <xf numFmtId="164" fontId="3" fillId="0" borderId="45" xfId="0" applyNumberFormat="1" applyFont="1" applyBorder="1" applyAlignment="1">
      <alignment horizontal="right"/>
    </xf>
    <xf numFmtId="0" fontId="18" fillId="0" borderId="42" xfId="0" applyFont="1" applyBorder="1"/>
    <xf numFmtId="49" fontId="8" fillId="0" borderId="55" xfId="0" applyNumberFormat="1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1" fontId="3" fillId="0" borderId="59" xfId="0" applyNumberFormat="1" applyFont="1" applyBorder="1"/>
    <xf numFmtId="1" fontId="3" fillId="0" borderId="60" xfId="0" applyNumberFormat="1" applyFont="1" applyBorder="1"/>
    <xf numFmtId="1" fontId="3" fillId="0" borderId="57" xfId="0" applyNumberFormat="1" applyFont="1" applyBorder="1"/>
    <xf numFmtId="165" fontId="3" fillId="0" borderId="34" xfId="0" applyNumberFormat="1" applyFont="1" applyBorder="1"/>
    <xf numFmtId="2" fontId="3" fillId="0" borderId="34" xfId="0" applyNumberFormat="1" applyFont="1" applyBorder="1"/>
    <xf numFmtId="0" fontId="3" fillId="0" borderId="34" xfId="0" applyFont="1" applyBorder="1"/>
    <xf numFmtId="0" fontId="3" fillId="0" borderId="25" xfId="0" applyFont="1" applyBorder="1"/>
    <xf numFmtId="0" fontId="10" fillId="0" borderId="2" xfId="0" applyFont="1" applyBorder="1" applyAlignment="1">
      <alignment vertical="center"/>
    </xf>
    <xf numFmtId="15" fontId="10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center" vertical="center"/>
    </xf>
    <xf numFmtId="15" fontId="8" fillId="0" borderId="0" xfId="0" applyNumberFormat="1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7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0" fontId="7" fillId="0" borderId="10" xfId="0" applyFont="1" applyBorder="1" applyAlignment="1">
      <alignment horizontal="center" vertical="center"/>
    </xf>
    <xf numFmtId="0" fontId="5" fillId="0" borderId="0" xfId="0" applyFont="1" applyBorder="1" applyAlignment="1"/>
    <xf numFmtId="0" fontId="6" fillId="0" borderId="10" xfId="0" applyFont="1" applyBorder="1" applyAlignment="1"/>
    <xf numFmtId="0" fontId="19" fillId="0" borderId="14" xfId="0" applyFont="1" applyFill="1" applyBorder="1"/>
    <xf numFmtId="0" fontId="19" fillId="0" borderId="30" xfId="0" applyFont="1" applyFill="1" applyBorder="1"/>
    <xf numFmtId="0" fontId="19" fillId="0" borderId="4" xfId="0" applyFont="1" applyBorder="1"/>
    <xf numFmtId="0" fontId="19" fillId="0" borderId="14" xfId="0" applyFont="1" applyBorder="1"/>
    <xf numFmtId="0" fontId="20" fillId="0" borderId="30" xfId="0" applyFont="1" applyBorder="1"/>
    <xf numFmtId="0" fontId="20" fillId="0" borderId="36" xfId="0" applyFont="1" applyBorder="1"/>
    <xf numFmtId="0" fontId="20" fillId="0" borderId="41" xfId="0" applyFont="1" applyBorder="1"/>
    <xf numFmtId="1" fontId="8" fillId="0" borderId="57" xfId="0" applyNumberFormat="1" applyFont="1" applyBorder="1"/>
    <xf numFmtId="165" fontId="8" fillId="0" borderId="34" xfId="0" applyNumberFormat="1" applyFont="1" applyBorder="1"/>
    <xf numFmtId="2" fontId="8" fillId="0" borderId="34" xfId="0" applyNumberFormat="1" applyFont="1" applyBorder="1"/>
    <xf numFmtId="1" fontId="8" fillId="0" borderId="59" xfId="0" applyNumberFormat="1" applyFont="1" applyBorder="1"/>
    <xf numFmtId="0" fontId="8" fillId="0" borderId="34" xfId="0" applyFont="1" applyBorder="1"/>
    <xf numFmtId="165" fontId="3" fillId="0" borderId="40" xfId="0" applyNumberFormat="1" applyFont="1" applyBorder="1"/>
    <xf numFmtId="0" fontId="3" fillId="0" borderId="40" xfId="0" applyFont="1" applyBorder="1"/>
    <xf numFmtId="2" fontId="3" fillId="0" borderId="40" xfId="0" applyNumberFormat="1" applyFont="1" applyBorder="1"/>
    <xf numFmtId="0" fontId="8" fillId="0" borderId="12" xfId="0" applyFont="1" applyBorder="1"/>
    <xf numFmtId="0" fontId="8" fillId="0" borderId="62" xfId="0" applyFont="1" applyBorder="1"/>
    <xf numFmtId="165" fontId="8" fillId="0" borderId="61" xfId="0" applyNumberFormat="1" applyFont="1" applyBorder="1"/>
    <xf numFmtId="0" fontId="8" fillId="0" borderId="61" xfId="0" applyFont="1" applyBorder="1"/>
    <xf numFmtId="49" fontId="8" fillId="0" borderId="61" xfId="0" applyNumberFormat="1" applyFont="1" applyBorder="1" applyAlignment="1">
      <alignment horizontal="right"/>
    </xf>
    <xf numFmtId="49" fontId="8" fillId="0" borderId="29" xfId="0" applyNumberFormat="1" applyFont="1" applyBorder="1" applyAlignment="1">
      <alignment horizontal="right"/>
    </xf>
    <xf numFmtId="0" fontId="3" fillId="0" borderId="30" xfId="0" applyFont="1" applyBorder="1"/>
    <xf numFmtId="0" fontId="19" fillId="0" borderId="36" xfId="0" applyFont="1" applyBorder="1"/>
    <xf numFmtId="164" fontId="8" fillId="0" borderId="12" xfId="0" applyNumberFormat="1" applyFont="1" applyBorder="1"/>
    <xf numFmtId="0" fontId="19" fillId="0" borderId="41" xfId="0" applyFont="1" applyBorder="1"/>
    <xf numFmtId="0" fontId="19" fillId="0" borderId="5" xfId="0" applyFont="1" applyBorder="1"/>
    <xf numFmtId="0" fontId="8" fillId="0" borderId="15" xfId="0" applyFont="1" applyBorder="1"/>
    <xf numFmtId="0" fontId="8" fillId="0" borderId="15" xfId="0" applyFont="1" applyFill="1" applyBorder="1"/>
    <xf numFmtId="0" fontId="8" fillId="0" borderId="16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v>Available hours (A)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CHA1E!$E$58:$V$58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8-4563-99AC-85B55F1D59E1}"/>
            </c:ext>
          </c:extLst>
        </c:ser>
        <c:ser>
          <c:idx val="0"/>
          <c:order val="1"/>
          <c:tx>
            <c:v>Available hours after Movement (C)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CHA1E!$E$59:$V$59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D-45FA-8B6A-C074E00EB397}"/>
            </c:ext>
          </c:extLst>
        </c:ser>
        <c:ser>
          <c:idx val="1"/>
          <c:order val="2"/>
          <c:tx>
            <c:v>Available hours after MOW with Overtime (G)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CHA1E!$E$60:$V$60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D-45FA-8B6A-C074E00EB397}"/>
            </c:ext>
          </c:extLst>
        </c:ser>
        <c:ser>
          <c:idx val="2"/>
          <c:order val="3"/>
          <c:tx>
            <c:v>Committed hours for projects (D)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CHA1E!$E$62:$V$62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CD-45FA-8B6A-C074E00EB397}"/>
            </c:ext>
          </c:extLst>
        </c:ser>
        <c:ser>
          <c:idx val="4"/>
          <c:order val="4"/>
          <c:tx>
            <c:v>Committed hours with Expected Projects (H)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CD-45FA-8B6A-C074E00EB397}"/>
            </c:ext>
          </c:extLst>
        </c:ser>
        <c:ser>
          <c:idx val="5"/>
          <c:order val="5"/>
          <c:tx>
            <c:v>Available hours after MOW with OT + Subcont (N)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CD-45FA-8B6A-C074E00EB397}"/>
            </c:ext>
          </c:extLst>
        </c:ser>
        <c:ser>
          <c:idx val="6"/>
          <c:order val="6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00CD-45FA-8B6A-C074E00E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080685851568617"/>
          <c:y val="0.19830198520765743"/>
          <c:w val="0.13919313716148518"/>
          <c:h val="0.180544376929615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v>Available hours (A)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CHA1E_24!$E$58:$AB$58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1-4DD8-B1B8-66A9A105384F}"/>
            </c:ext>
          </c:extLst>
        </c:ser>
        <c:ser>
          <c:idx val="0"/>
          <c:order val="1"/>
          <c:tx>
            <c:v>Available hours after Movement (C)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CHA1E_24!$E$59:$AB$59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9-438F-928B-931FAAF10B7E}"/>
            </c:ext>
          </c:extLst>
        </c:ser>
        <c:ser>
          <c:idx val="1"/>
          <c:order val="2"/>
          <c:tx>
            <c:v>Available hours after MOW with Overtime (G)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CHA1E_24!$E$60:$AB$60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C9-438F-928B-931FAAF10B7E}"/>
            </c:ext>
          </c:extLst>
        </c:ser>
        <c:ser>
          <c:idx val="2"/>
          <c:order val="3"/>
          <c:tx>
            <c:v>Committed hours for projects (D)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CHA1E_24!$E$62:$AB$62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C9-438F-928B-931FAAF10B7E}"/>
            </c:ext>
          </c:extLst>
        </c:ser>
        <c:ser>
          <c:idx val="4"/>
          <c:order val="4"/>
          <c:tx>
            <c:v>Committed hours with Expected Projects (H)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CHA1E_24!$E$63:$AB$63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C9-438F-928B-931FAAF10B7E}"/>
            </c:ext>
          </c:extLst>
        </c:ser>
        <c:ser>
          <c:idx val="5"/>
          <c:order val="5"/>
          <c:tx>
            <c:v>Available hours after MOW with OT + Subcont (N)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CHA1E_24!$E$61:$AB$61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C9-438F-928B-931FAAF10B7E}"/>
            </c:ext>
          </c:extLst>
        </c:ser>
        <c:ser>
          <c:idx val="6"/>
          <c:order val="6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D0C9-438F-928B-931FAAF10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  <c:extLst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1215557479398845"/>
          <c:h val="0.180544376929615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strRef>
              <c:f>Sheet1!$A$42</c:f>
              <c:strCache>
                <c:ptCount val="1"/>
                <c:pt idx="0">
                  <c:v>Available hours (A)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AD-4342-B693-A203FA3FEA8E}"/>
            </c:ext>
          </c:extLst>
        </c:ser>
        <c:ser>
          <c:idx val="0"/>
          <c:order val="1"/>
          <c:tx>
            <c:strRef>
              <c:f>Sheet1!$A$43</c:f>
              <c:strCache>
                <c:ptCount val="1"/>
                <c:pt idx="0">
                  <c:v>Available hours after MOW  (C)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AD-4342-B693-A203FA3FEA8E}"/>
            </c:ext>
          </c:extLst>
        </c:ser>
        <c:ser>
          <c:idx val="1"/>
          <c:order val="2"/>
          <c:tx>
            <c:strRef>
              <c:f>Sheet1!$A$44</c:f>
              <c:strCache>
                <c:ptCount val="1"/>
                <c:pt idx="0">
                  <c:v>Available hours after MOW with Overtime(G) =C+(F*C)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66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9AD-4342-B693-A203FA3FEA8E}"/>
              </c:ext>
            </c:extLst>
          </c:dPt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AD-4342-B693-A203FA3FEA8E}"/>
            </c:ext>
          </c:extLst>
        </c:ser>
        <c:ser>
          <c:idx val="4"/>
          <c:order val="3"/>
          <c:tx>
            <c:strRef>
              <c:f>Sheet1!$A$45</c:f>
              <c:strCache>
                <c:ptCount val="1"/>
                <c:pt idx="0">
                  <c:v>Committed hours (D)</c:v>
                </c:pt>
              </c:strCache>
            </c:strRef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AD-4342-B693-A203FA3FEA8E}"/>
            </c:ext>
          </c:extLst>
        </c:ser>
        <c:ser>
          <c:idx val="5"/>
          <c:order val="4"/>
          <c:tx>
            <c:strRef>
              <c:f>Sheet1!$A$46</c:f>
              <c:strCache>
                <c:ptCount val="1"/>
                <c:pt idx="0">
                  <c:v>Committed hours with Expected Projects (H) = D+E 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AD-4342-B693-A203FA3FEA8E}"/>
            </c:ext>
          </c:extLst>
        </c:ser>
        <c:ser>
          <c:idx val="2"/>
          <c:order val="5"/>
          <c:tx>
            <c:strRef>
              <c:f>Sheet1!$A$47</c:f>
              <c:strCache>
                <c:ptCount val="1"/>
                <c:pt idx="0">
                  <c:v>Committed hours with Expected proj, Active (K) = D+J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AD-4342-B693-A203FA3FEA8E}"/>
            </c:ext>
          </c:extLst>
        </c:ser>
        <c:ser>
          <c:idx val="6"/>
          <c:order val="6"/>
          <c:tx>
            <c:strRef>
              <c:f>Sheet1!$A$61</c:f>
              <c:strCache>
                <c:ptCount val="1"/>
                <c:pt idx="0">
                  <c:v>Available hours after MOW with OT + Subcont (N)=G+L</c:v>
                </c:pt>
              </c:strCache>
            </c:strRef>
          </c:tx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9-39AD-4342-B693-A203FA3FEA8E}"/>
              </c:ext>
            </c:extLst>
          </c:dPt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AD-4342-B693-A203FA3F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2781902262217226"/>
          <c:h val="0.180692769568187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4" name="Picture 1"/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438150</xdr:colOff>
      <xdr:row>106</xdr:row>
      <xdr:rowOff>158115</xdr:rowOff>
    </xdr:to>
    <xdr:graphicFrame macro="">
      <xdr:nvGraphicFramePr>
        <xdr:cNvPr id="225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28</xdr:col>
      <xdr:colOff>438150</xdr:colOff>
      <xdr:row>106</xdr:row>
      <xdr:rowOff>158115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63</xdr:row>
      <xdr:rowOff>114300</xdr:rowOff>
    </xdr:from>
    <xdr:to>
      <xdr:col>22</xdr:col>
      <xdr:colOff>525780</xdr:colOff>
      <xdr:row>106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7"/>
  <sheetViews>
    <sheetView workbookViewId="0">
      <selection activeCell="E17" sqref="E17"/>
    </sheetView>
  </sheetViews>
  <sheetFormatPr defaultRowHeight="12.75" x14ac:dyDescent="0.2"/>
  <cols>
    <col min="1" max="1" width="2.5703125" customWidth="1"/>
    <col min="2" max="2" width="2.28515625" customWidth="1"/>
    <col min="5" max="5" width="40.5703125" customWidth="1"/>
    <col min="8" max="8" width="1.5703125" customWidth="1"/>
  </cols>
  <sheetData>
    <row r="1" spans="1:8" x14ac:dyDescent="0.2">
      <c r="A1" s="43"/>
      <c r="B1" s="25"/>
      <c r="C1" s="25"/>
      <c r="D1" s="25"/>
      <c r="E1" s="25"/>
      <c r="F1" s="25"/>
      <c r="G1" s="25"/>
      <c r="H1" s="44"/>
    </row>
    <row r="2" spans="1:8" ht="20.25" x14ac:dyDescent="0.3">
      <c r="A2" s="45" t="s">
        <v>62</v>
      </c>
      <c r="B2" s="46"/>
      <c r="C2" s="46"/>
      <c r="D2" s="46"/>
      <c r="E2" s="46"/>
      <c r="F2" s="46"/>
      <c r="G2" s="46"/>
      <c r="H2" s="47"/>
    </row>
    <row r="3" spans="1:8" x14ac:dyDescent="0.2">
      <c r="A3" s="48"/>
      <c r="B3" s="42"/>
      <c r="C3" s="42"/>
      <c r="D3" s="42"/>
      <c r="E3" s="42"/>
      <c r="F3" s="42"/>
      <c r="G3" s="42"/>
      <c r="H3" s="49"/>
    </row>
    <row r="4" spans="1:8" x14ac:dyDescent="0.2">
      <c r="A4" s="50" t="s">
        <v>0</v>
      </c>
      <c r="B4" s="51"/>
      <c r="C4" s="51"/>
      <c r="D4" s="51"/>
      <c r="E4" s="51"/>
      <c r="F4" s="51"/>
      <c r="G4" s="51"/>
      <c r="H4" s="52"/>
    </row>
    <row r="5" spans="1:8" x14ac:dyDescent="0.2">
      <c r="A5" s="60"/>
      <c r="B5" s="61"/>
      <c r="C5" s="61"/>
      <c r="D5" s="61"/>
      <c r="E5" s="61"/>
      <c r="F5" s="61"/>
      <c r="G5" s="61"/>
      <c r="H5" s="62"/>
    </row>
    <row r="6" spans="1:8" x14ac:dyDescent="0.2">
      <c r="A6" s="48"/>
      <c r="B6" s="53" t="s">
        <v>1</v>
      </c>
      <c r="C6" s="42"/>
      <c r="D6" s="42"/>
      <c r="E6" s="42"/>
      <c r="F6" s="42"/>
      <c r="G6" s="42"/>
      <c r="H6" s="49"/>
    </row>
    <row r="7" spans="1:8" x14ac:dyDescent="0.2">
      <c r="A7" s="48"/>
      <c r="B7" s="42"/>
      <c r="C7" s="42"/>
      <c r="D7" s="42"/>
      <c r="E7" s="42"/>
      <c r="F7" s="42"/>
      <c r="G7" s="42"/>
      <c r="H7" s="49"/>
    </row>
    <row r="8" spans="1:8" x14ac:dyDescent="0.2">
      <c r="A8" s="48"/>
      <c r="B8" s="54" t="s">
        <v>40</v>
      </c>
      <c r="C8" s="53"/>
      <c r="D8" s="42"/>
      <c r="E8" s="42"/>
      <c r="F8" s="42"/>
      <c r="G8" s="42"/>
      <c r="H8" s="49"/>
    </row>
    <row r="9" spans="1:8" x14ac:dyDescent="0.2">
      <c r="A9" s="48"/>
      <c r="B9" s="42">
        <v>1</v>
      </c>
      <c r="C9" s="42" t="s">
        <v>33</v>
      </c>
      <c r="D9" s="42"/>
      <c r="E9" s="42"/>
      <c r="F9" s="42"/>
      <c r="G9" s="42"/>
      <c r="H9" s="49"/>
    </row>
    <row r="10" spans="1:8" x14ac:dyDescent="0.2">
      <c r="A10" s="48"/>
      <c r="B10" s="42"/>
      <c r="C10" s="42"/>
      <c r="D10" s="42" t="s">
        <v>34</v>
      </c>
      <c r="E10" s="42"/>
      <c r="F10" s="42"/>
      <c r="G10" s="42"/>
      <c r="H10" s="49"/>
    </row>
    <row r="11" spans="1:8" x14ac:dyDescent="0.2">
      <c r="A11" s="48"/>
      <c r="B11" s="42"/>
      <c r="C11" s="42"/>
      <c r="D11" s="42"/>
      <c r="E11" s="42"/>
      <c r="F11" s="42"/>
      <c r="G11" s="42"/>
      <c r="H11" s="49"/>
    </row>
    <row r="12" spans="1:8" x14ac:dyDescent="0.2">
      <c r="A12" s="48"/>
      <c r="B12" s="42"/>
      <c r="C12" s="77" t="s">
        <v>41</v>
      </c>
      <c r="D12" s="42"/>
      <c r="E12" s="42"/>
      <c r="F12" s="42"/>
      <c r="G12" s="42"/>
      <c r="H12" s="49"/>
    </row>
    <row r="13" spans="1:8" x14ac:dyDescent="0.2">
      <c r="A13" s="48"/>
      <c r="B13" s="42"/>
      <c r="C13" s="42"/>
      <c r="D13" s="42"/>
      <c r="E13" s="42"/>
      <c r="F13" s="42"/>
      <c r="G13" s="42"/>
      <c r="H13" s="49"/>
    </row>
    <row r="14" spans="1:8" x14ac:dyDescent="0.2">
      <c r="A14" s="48"/>
      <c r="B14" s="42"/>
      <c r="C14" s="55" t="s">
        <v>22</v>
      </c>
      <c r="D14" s="42"/>
      <c r="E14" s="42"/>
      <c r="F14" s="42"/>
      <c r="G14" s="42"/>
      <c r="H14" s="49"/>
    </row>
    <row r="15" spans="1:8" x14ac:dyDescent="0.2">
      <c r="A15" s="48"/>
      <c r="B15" s="42"/>
      <c r="C15" s="55" t="s">
        <v>23</v>
      </c>
      <c r="D15" s="42"/>
      <c r="E15" s="42"/>
      <c r="F15" s="42"/>
      <c r="G15" s="42"/>
      <c r="H15" s="49"/>
    </row>
    <row r="16" spans="1:8" x14ac:dyDescent="0.2">
      <c r="A16" s="48"/>
      <c r="B16" s="42"/>
      <c r="C16" s="55" t="s">
        <v>24</v>
      </c>
      <c r="D16" s="42"/>
      <c r="E16" s="42"/>
      <c r="F16" s="42"/>
      <c r="G16" s="42"/>
      <c r="H16" s="49"/>
    </row>
    <row r="17" spans="1:8" x14ac:dyDescent="0.2">
      <c r="A17" s="48"/>
      <c r="B17" s="42"/>
      <c r="C17" s="55"/>
      <c r="D17" s="42"/>
      <c r="E17" s="42"/>
      <c r="F17" s="42"/>
      <c r="G17" s="42"/>
      <c r="H17" s="49"/>
    </row>
    <row r="18" spans="1:8" x14ac:dyDescent="0.2">
      <c r="A18" s="48"/>
      <c r="B18" s="55">
        <v>1</v>
      </c>
      <c r="C18" s="53" t="s">
        <v>35</v>
      </c>
      <c r="D18" s="42"/>
      <c r="E18" s="42"/>
      <c r="F18" s="42"/>
      <c r="G18" s="42"/>
      <c r="H18" s="49"/>
    </row>
    <row r="19" spans="1:8" x14ac:dyDescent="0.2">
      <c r="A19" s="48"/>
      <c r="B19" s="55"/>
      <c r="C19" s="53"/>
      <c r="D19" s="42"/>
      <c r="E19" s="42"/>
      <c r="F19" s="42"/>
      <c r="G19" s="42"/>
      <c r="H19" s="49"/>
    </row>
    <row r="20" spans="1:8" x14ac:dyDescent="0.2">
      <c r="A20" s="48"/>
      <c r="B20" s="42"/>
      <c r="C20" s="42" t="s">
        <v>37</v>
      </c>
      <c r="D20" s="42"/>
      <c r="E20" s="42"/>
      <c r="F20" s="42"/>
      <c r="G20" s="42"/>
      <c r="H20" s="49"/>
    </row>
    <row r="21" spans="1:8" x14ac:dyDescent="0.2">
      <c r="A21" s="48"/>
      <c r="B21" s="42"/>
      <c r="C21" s="42" t="s">
        <v>38</v>
      </c>
      <c r="D21" s="42"/>
      <c r="E21" s="42"/>
      <c r="F21" s="42"/>
      <c r="G21" s="42"/>
      <c r="H21" s="49"/>
    </row>
    <row r="22" spans="1:8" x14ac:dyDescent="0.2">
      <c r="A22" s="48"/>
      <c r="B22" s="42"/>
      <c r="C22" s="42" t="s">
        <v>39</v>
      </c>
      <c r="D22" s="42"/>
      <c r="E22" s="42"/>
      <c r="F22" s="42"/>
      <c r="G22" s="42"/>
      <c r="H22" s="49"/>
    </row>
    <row r="23" spans="1:8" x14ac:dyDescent="0.2">
      <c r="A23" s="48"/>
      <c r="B23" s="42"/>
      <c r="C23" s="42" t="s">
        <v>36</v>
      </c>
      <c r="D23" s="42"/>
      <c r="E23" s="42"/>
      <c r="F23" s="42"/>
      <c r="G23" s="42"/>
      <c r="H23" s="49"/>
    </row>
    <row r="24" spans="1:8" x14ac:dyDescent="0.2">
      <c r="A24" s="48"/>
      <c r="B24" s="42"/>
      <c r="C24" s="42"/>
      <c r="D24" s="42"/>
      <c r="E24" s="42"/>
      <c r="F24" s="42"/>
      <c r="G24" s="42"/>
      <c r="H24" s="49"/>
    </row>
    <row r="25" spans="1:8" x14ac:dyDescent="0.2">
      <c r="A25" s="48"/>
      <c r="B25" s="42"/>
      <c r="C25" s="42" t="s">
        <v>2</v>
      </c>
      <c r="D25" s="42"/>
      <c r="E25" s="42"/>
      <c r="F25" s="42"/>
      <c r="G25" s="42"/>
      <c r="H25" s="49"/>
    </row>
    <row r="26" spans="1:8" x14ac:dyDescent="0.2">
      <c r="A26" s="48"/>
      <c r="B26" s="42"/>
      <c r="C26" s="42" t="s">
        <v>3</v>
      </c>
      <c r="D26" s="42"/>
      <c r="E26" s="42"/>
      <c r="F26" s="42"/>
      <c r="G26" s="42"/>
      <c r="H26" s="49"/>
    </row>
    <row r="27" spans="1:8" x14ac:dyDescent="0.2">
      <c r="A27" s="48"/>
      <c r="B27" s="42"/>
      <c r="C27" s="42"/>
      <c r="D27" s="42"/>
      <c r="E27" s="42"/>
      <c r="F27" s="42"/>
      <c r="G27" s="42"/>
      <c r="H27" s="49"/>
    </row>
    <row r="28" spans="1:8" x14ac:dyDescent="0.2">
      <c r="A28" s="48"/>
      <c r="B28" s="42"/>
      <c r="C28" s="56" t="s">
        <v>25</v>
      </c>
      <c r="D28" s="42"/>
      <c r="E28" s="42"/>
      <c r="F28" s="42"/>
      <c r="G28" s="42"/>
      <c r="H28" s="49"/>
    </row>
    <row r="29" spans="1:8" x14ac:dyDescent="0.2">
      <c r="A29" s="48"/>
      <c r="B29" s="42"/>
      <c r="C29" s="56"/>
      <c r="D29" s="42"/>
      <c r="E29" s="42"/>
      <c r="F29" s="42"/>
      <c r="G29" s="42"/>
      <c r="H29" s="49"/>
    </row>
    <row r="30" spans="1:8" x14ac:dyDescent="0.2">
      <c r="A30" s="48"/>
      <c r="B30" s="42"/>
      <c r="C30" s="42" t="s">
        <v>4</v>
      </c>
      <c r="D30" s="42"/>
      <c r="E30" s="42"/>
      <c r="F30" s="42"/>
      <c r="G30" s="42"/>
      <c r="H30" s="49"/>
    </row>
    <row r="31" spans="1:8" x14ac:dyDescent="0.2">
      <c r="A31" s="48"/>
      <c r="B31" s="42"/>
      <c r="C31" s="42"/>
      <c r="D31" s="42"/>
      <c r="E31" s="42"/>
      <c r="F31" s="42"/>
      <c r="G31" s="42"/>
      <c r="H31" s="49"/>
    </row>
    <row r="32" spans="1:8" x14ac:dyDescent="0.2">
      <c r="A32" s="48"/>
      <c r="B32" s="42"/>
      <c r="C32" t="s">
        <v>26</v>
      </c>
      <c r="D32" s="42"/>
      <c r="E32" s="42"/>
      <c r="F32" s="42"/>
      <c r="G32" s="42"/>
      <c r="H32" s="49"/>
    </row>
    <row r="33" spans="1:8" x14ac:dyDescent="0.2">
      <c r="A33" s="48"/>
      <c r="B33" s="42"/>
      <c r="C33" t="s">
        <v>28</v>
      </c>
      <c r="D33" s="42"/>
      <c r="E33" s="42"/>
      <c r="F33" s="42"/>
      <c r="G33" s="42"/>
      <c r="H33" s="49"/>
    </row>
    <row r="34" spans="1:8" x14ac:dyDescent="0.2">
      <c r="A34" s="48"/>
      <c r="B34" s="42"/>
      <c r="C34" s="42" t="s">
        <v>29</v>
      </c>
      <c r="D34" s="42"/>
      <c r="E34" s="42"/>
      <c r="F34" s="42"/>
      <c r="G34" s="42"/>
      <c r="H34" s="49"/>
    </row>
    <row r="35" spans="1:8" x14ac:dyDescent="0.2">
      <c r="A35" s="48"/>
      <c r="B35" s="42"/>
      <c r="D35" s="42"/>
      <c r="E35" s="42"/>
      <c r="F35" s="42"/>
      <c r="G35" s="42"/>
      <c r="H35" s="49"/>
    </row>
    <row r="36" spans="1:8" x14ac:dyDescent="0.2">
      <c r="A36" s="48"/>
      <c r="B36" s="42"/>
      <c r="C36" t="s">
        <v>27</v>
      </c>
      <c r="D36" s="42"/>
      <c r="E36" s="42"/>
      <c r="F36" s="42"/>
      <c r="G36" s="42"/>
      <c r="H36" s="49"/>
    </row>
    <row r="37" spans="1:8" x14ac:dyDescent="0.2">
      <c r="A37" s="48"/>
      <c r="B37" s="42"/>
      <c r="D37" s="42"/>
      <c r="E37" s="42"/>
      <c r="F37" s="42"/>
      <c r="G37" s="42"/>
      <c r="H37" s="49"/>
    </row>
    <row r="38" spans="1:8" x14ac:dyDescent="0.2">
      <c r="A38" s="48"/>
      <c r="B38" s="42"/>
      <c r="C38" s="42" t="s">
        <v>30</v>
      </c>
      <c r="D38" s="42"/>
      <c r="E38" s="42"/>
      <c r="F38" s="42"/>
      <c r="G38" s="42"/>
      <c r="H38" s="49"/>
    </row>
    <row r="39" spans="1:8" x14ac:dyDescent="0.2">
      <c r="A39" s="48"/>
      <c r="B39" s="42"/>
      <c r="C39" s="42" t="s">
        <v>31</v>
      </c>
      <c r="D39" s="42"/>
      <c r="E39" s="42"/>
      <c r="F39" s="42"/>
      <c r="G39" s="42"/>
      <c r="H39" s="49"/>
    </row>
    <row r="40" spans="1:8" x14ac:dyDescent="0.2">
      <c r="A40" s="48"/>
      <c r="B40" s="42"/>
      <c r="C40" s="42" t="s">
        <v>32</v>
      </c>
      <c r="D40" s="42"/>
      <c r="E40" s="42"/>
      <c r="F40" s="42"/>
      <c r="G40" s="42"/>
      <c r="H40" s="49"/>
    </row>
    <row r="41" spans="1:8" x14ac:dyDescent="0.2">
      <c r="A41" s="48"/>
      <c r="B41" s="42"/>
      <c r="D41" s="42"/>
      <c r="E41" s="42"/>
      <c r="F41" s="42"/>
      <c r="G41" s="42"/>
      <c r="H41" s="49"/>
    </row>
    <row r="42" spans="1:8" x14ac:dyDescent="0.2">
      <c r="A42" s="48"/>
      <c r="B42" s="42"/>
      <c r="C42" s="42" t="s">
        <v>5</v>
      </c>
      <c r="D42" s="42"/>
      <c r="E42" s="42"/>
      <c r="F42" s="42"/>
      <c r="G42" s="42"/>
      <c r="H42" s="49"/>
    </row>
    <row r="43" spans="1:8" x14ac:dyDescent="0.2">
      <c r="A43" s="48"/>
      <c r="B43" s="42"/>
      <c r="C43" s="42" t="s">
        <v>6</v>
      </c>
      <c r="D43" s="42"/>
      <c r="E43" s="42"/>
      <c r="F43" s="42"/>
      <c r="G43" s="42"/>
      <c r="H43" s="49"/>
    </row>
    <row r="44" spans="1:8" x14ac:dyDescent="0.2">
      <c r="A44" s="48"/>
      <c r="B44" s="42"/>
      <c r="C44" s="42" t="s">
        <v>7</v>
      </c>
      <c r="D44" s="42"/>
      <c r="E44" s="42"/>
      <c r="F44" s="42"/>
      <c r="G44" s="42"/>
      <c r="H44" s="49"/>
    </row>
    <row r="45" spans="1:8" x14ac:dyDescent="0.2">
      <c r="A45" s="48"/>
      <c r="B45" s="42"/>
      <c r="C45" s="42"/>
      <c r="D45" s="42"/>
      <c r="E45" s="42"/>
      <c r="F45" s="42"/>
      <c r="G45" s="42"/>
      <c r="H45" s="49"/>
    </row>
    <row r="46" spans="1:8" ht="13.5" thickBot="1" x14ac:dyDescent="0.25">
      <c r="A46" s="57"/>
      <c r="B46" s="58"/>
      <c r="C46" s="58" t="s">
        <v>8</v>
      </c>
      <c r="D46" s="58"/>
      <c r="E46" s="58"/>
      <c r="F46" s="58"/>
      <c r="G46" s="58"/>
      <c r="H46" s="59"/>
    </row>
    <row r="47" spans="1:8" ht="13.5" thickBot="1" x14ac:dyDescent="0.25">
      <c r="A47" s="57"/>
      <c r="B47" s="58"/>
      <c r="C47" s="58"/>
      <c r="D47" s="58"/>
      <c r="E47" s="58"/>
      <c r="F47" s="58"/>
      <c r="G47" s="58"/>
      <c r="H47" s="59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07"/>
  <sheetViews>
    <sheetView showGridLines="0" showZeros="0" topLeftCell="A70" workbookViewId="0">
      <selection activeCell="E35" sqref="E35"/>
    </sheetView>
  </sheetViews>
  <sheetFormatPr defaultRowHeight="12.75" x14ac:dyDescent="0.2"/>
  <cols>
    <col min="1" max="1" width="3.42578125" style="2" customWidth="1"/>
    <col min="2" max="2" width="10.28515625" style="76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167"/>
      <c r="X1" s="5"/>
    </row>
    <row r="2" spans="1:53" ht="30" x14ac:dyDescent="0.4">
      <c r="A2" s="208" t="s">
        <v>97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168" t="s">
        <v>10</v>
      </c>
      <c r="T2" s="169"/>
      <c r="U2" s="169"/>
      <c r="V2" s="170"/>
      <c r="W2" s="169"/>
      <c r="X2" s="6"/>
    </row>
    <row r="3" spans="1:53" ht="14.25" x14ac:dyDescent="0.2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171"/>
      <c r="X3" s="9"/>
    </row>
    <row r="4" spans="1:53" ht="21" thickBot="1" x14ac:dyDescent="0.35">
      <c r="A4" s="210" t="s">
        <v>98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173" t="s">
        <v>11</v>
      </c>
      <c r="T4" s="176"/>
      <c r="U4" s="174"/>
      <c r="V4" s="175"/>
      <c r="W4" s="176"/>
      <c r="X4" s="20"/>
    </row>
    <row r="5" spans="1:53" ht="8.25" customHeight="1" x14ac:dyDescent="0.2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9"/>
      <c r="Y6" s="2" t="s">
        <v>12</v>
      </c>
    </row>
    <row r="7" spans="1:53" x14ac:dyDescent="0.2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9"/>
    </row>
    <row r="8" spans="1:53" ht="18.75" customHeight="1" x14ac:dyDescent="0.2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9" t="s">
        <v>45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6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12">
        <f t="shared" si="0"/>
        <v>0</v>
      </c>
      <c r="X11" s="29"/>
      <c r="Y11"/>
      <c r="Z11"/>
      <c r="AA11"/>
      <c r="AB11"/>
      <c r="AC11"/>
      <c r="AD11"/>
      <c r="AE11"/>
      <c r="AF11"/>
      <c r="AG11"/>
    </row>
    <row r="12" spans="1:53" x14ac:dyDescent="0.2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12">
        <f t="shared" si="0"/>
        <v>0</v>
      </c>
      <c r="X12" s="29"/>
      <c r="Y12"/>
      <c r="Z12"/>
      <c r="AA12"/>
      <c r="AB12"/>
      <c r="AC12"/>
      <c r="AD12"/>
      <c r="AE12"/>
      <c r="AF12"/>
      <c r="AG12"/>
    </row>
    <row r="13" spans="1:53" x14ac:dyDescent="0.2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12">
        <f t="shared" si="0"/>
        <v>0</v>
      </c>
      <c r="X13" s="12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18">
        <f t="shared" si="0"/>
        <v>0</v>
      </c>
      <c r="X14" s="122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18">
        <f t="shared" si="0"/>
        <v>0</v>
      </c>
      <c r="X15" s="122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26">
        <f t="shared" si="0"/>
        <v>0</v>
      </c>
      <c r="X16" s="11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49</v>
      </c>
      <c r="B17" s="71"/>
      <c r="C17" s="14"/>
      <c r="D17" s="14"/>
      <c r="E17" s="67">
        <f t="shared" ref="E17:V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26">
        <f t="shared" si="0"/>
        <v>0</v>
      </c>
      <c r="X17" s="11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89" customFormat="1" x14ac:dyDescent="0.2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V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26">
        <f t="shared" si="0"/>
        <v>0</v>
      </c>
      <c r="X18" s="111"/>
      <c r="Y18" s="87"/>
      <c r="Z18" s="87"/>
      <c r="AA18" s="87"/>
      <c r="AB18" s="87"/>
      <c r="AC18" s="87"/>
      <c r="AD18" s="87"/>
      <c r="AE18" s="87"/>
      <c r="AF18" s="87"/>
      <c r="AG18" s="87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</row>
    <row r="19" spans="1:53" s="1" customFormat="1" x14ac:dyDescent="0.2">
      <c r="A19" s="13" t="s">
        <v>50</v>
      </c>
      <c r="B19" s="71"/>
      <c r="C19" s="14"/>
      <c r="D19" s="14"/>
      <c r="E19" s="67">
        <f>E17+E18</f>
        <v>0</v>
      </c>
      <c r="F19" s="67">
        <f t="shared" ref="F19:V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0"/>
        <v>0</v>
      </c>
      <c r="X19" s="11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78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W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9" t="str">
        <f t="shared" si="4"/>
        <v>Total</v>
      </c>
      <c r="X22" s="113"/>
    </row>
    <row r="23" spans="1:53" x14ac:dyDescent="0.2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01">
        <f t="shared" ref="W23:W27" si="5">SUM(E23:V23)</f>
        <v>0</v>
      </c>
      <c r="X23" s="180" t="s">
        <v>101</v>
      </c>
    </row>
    <row r="24" spans="1:53" x14ac:dyDescent="0.2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01" t="s">
        <v>103</v>
      </c>
      <c r="X24" s="179"/>
    </row>
    <row r="25" spans="1:53" x14ac:dyDescent="0.2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01">
        <f t="shared" si="5"/>
        <v>0</v>
      </c>
      <c r="X25" s="179"/>
    </row>
    <row r="26" spans="1:53" x14ac:dyDescent="0.2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01">
        <f t="shared" si="5"/>
        <v>0</v>
      </c>
      <c r="X26" s="179"/>
    </row>
    <row r="27" spans="1:53" x14ac:dyDescent="0.2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>
        <v>0</v>
      </c>
      <c r="V27" s="193">
        <v>0</v>
      </c>
      <c r="W27" s="202">
        <f t="shared" si="5"/>
        <v>0</v>
      </c>
      <c r="X27" s="179"/>
    </row>
    <row r="28" spans="1:53" s="1" customFormat="1" x14ac:dyDescent="0.2">
      <c r="A28" s="13" t="s">
        <v>43</v>
      </c>
      <c r="B28" s="71"/>
      <c r="C28" s="14"/>
      <c r="D28" s="14"/>
      <c r="E28" s="35">
        <f t="shared" ref="E28:W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2" customFormat="1" x14ac:dyDescent="0.2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66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W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9" t="str">
        <f t="shared" si="7"/>
        <v>Total</v>
      </c>
      <c r="X31" s="200"/>
    </row>
    <row r="32" spans="1:53" x14ac:dyDescent="0.2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01">
        <f t="shared" ref="W32:W36" si="8">SUM(E32:V32)</f>
        <v>0</v>
      </c>
      <c r="X32" s="201" t="s">
        <v>101</v>
      </c>
    </row>
    <row r="33" spans="1:53" x14ac:dyDescent="0.2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01" t="s">
        <v>103</v>
      </c>
      <c r="X33" s="201"/>
    </row>
    <row r="34" spans="1:53" x14ac:dyDescent="0.2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>
        <v>0</v>
      </c>
      <c r="V34" s="164">
        <v>0</v>
      </c>
      <c r="W34" s="101">
        <f t="shared" si="8"/>
        <v>0</v>
      </c>
      <c r="X34" s="201"/>
    </row>
    <row r="35" spans="1:53" x14ac:dyDescent="0.2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>
        <v>0</v>
      </c>
      <c r="V35" s="164">
        <v>0</v>
      </c>
      <c r="W35" s="101">
        <f t="shared" si="8"/>
        <v>0</v>
      </c>
      <c r="X35" s="201"/>
    </row>
    <row r="36" spans="1:53" x14ac:dyDescent="0.2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>
        <v>0</v>
      </c>
      <c r="V36" s="193">
        <v>0</v>
      </c>
      <c r="W36" s="194">
        <f t="shared" si="8"/>
        <v>0</v>
      </c>
      <c r="X36" s="203"/>
    </row>
    <row r="37" spans="1:53" s="1" customFormat="1" x14ac:dyDescent="0.2">
      <c r="A37" s="91" t="s">
        <v>53</v>
      </c>
      <c r="B37" s="92"/>
      <c r="C37" s="93"/>
      <c r="D37" s="93"/>
      <c r="E37" s="94">
        <f t="shared" ref="E37:W37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95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">
      <c r="A38" s="96" t="s">
        <v>56</v>
      </c>
      <c r="B38" s="97"/>
      <c r="C38" s="98"/>
      <c r="D38" s="99"/>
      <c r="E38" s="100">
        <f t="shared" ref="E38:W38" si="10">SUMIF($X32:$X36,1,E32:E36)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10"/>
        <v>0</v>
      </c>
      <c r="V38" s="100">
        <f t="shared" si="10"/>
        <v>0</v>
      </c>
      <c r="W38" s="101">
        <f t="shared" si="10"/>
        <v>0</v>
      </c>
      <c r="X38" s="102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">
      <c r="A39" s="103" t="s">
        <v>58</v>
      </c>
      <c r="B39" s="104"/>
      <c r="C39" s="105"/>
      <c r="D39" s="106"/>
      <c r="E39" s="107">
        <f>E37-E38</f>
        <v>0</v>
      </c>
      <c r="F39" s="107">
        <f t="shared" ref="F39:W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8">
        <f t="shared" si="11"/>
        <v>0</v>
      </c>
      <c r="X39" s="109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5" thickBot="1" x14ac:dyDescent="0.25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">
      <c r="A41" s="30" t="s">
        <v>12</v>
      </c>
      <c r="B41" s="73"/>
      <c r="C41" s="63"/>
      <c r="D41" s="63"/>
      <c r="E41" s="64">
        <f t="shared" ref="E41:W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 t="str">
        <f t="shared" si="12"/>
        <v>Total</v>
      </c>
      <c r="X41" s="5"/>
    </row>
    <row r="42" spans="1:53" x14ac:dyDescent="0.2">
      <c r="A42" s="205" t="s">
        <v>105</v>
      </c>
      <c r="B42" s="70"/>
      <c r="C42" s="28"/>
      <c r="D42" s="28"/>
      <c r="E42" s="36">
        <f t="shared" ref="E42:V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>SUM(E42:V42)</f>
        <v>0</v>
      </c>
      <c r="X42" s="29"/>
    </row>
    <row r="43" spans="1:53" x14ac:dyDescent="0.2">
      <c r="A43" s="205" t="s">
        <v>106</v>
      </c>
      <c r="B43" s="70"/>
      <c r="C43" s="28"/>
      <c r="D43" s="28"/>
      <c r="E43" s="36">
        <f t="shared" ref="E43:V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>SUM(E43:V43)</f>
        <v>0</v>
      </c>
      <c r="X43" s="110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">
      <c r="A44" s="205" t="s">
        <v>107</v>
      </c>
      <c r="B44" s="70"/>
      <c r="C44" s="28"/>
      <c r="D44" s="28"/>
      <c r="E44" s="36">
        <f t="shared" ref="E44:W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29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">
      <c r="A45" s="205" t="s">
        <v>108</v>
      </c>
      <c r="B45" s="70"/>
      <c r="C45" s="28"/>
      <c r="D45" s="28"/>
      <c r="E45" s="36">
        <f t="shared" ref="E45:V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>SUM(E45:V45)</f>
        <v>0</v>
      </c>
      <c r="X45" s="29"/>
    </row>
    <row r="46" spans="1:53" x14ac:dyDescent="0.2">
      <c r="A46" s="205" t="s">
        <v>109</v>
      </c>
      <c r="B46" s="70"/>
      <c r="C46" s="28"/>
      <c r="D46" s="28"/>
      <c r="E46" s="36">
        <f t="shared" ref="E46:V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>SUM(E46:V46)</f>
        <v>0</v>
      </c>
      <c r="X46" s="29"/>
    </row>
    <row r="47" spans="1:53" x14ac:dyDescent="0.2">
      <c r="A47" s="13" t="s">
        <v>110</v>
      </c>
      <c r="B47" s="70"/>
      <c r="C47" s="28"/>
      <c r="D47" s="28"/>
      <c r="E47" s="36">
        <f t="shared" ref="E47:V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>SUM(E47:V47)</f>
        <v>0</v>
      </c>
      <c r="X47" s="29"/>
    </row>
    <row r="48" spans="1:53" x14ac:dyDescent="0.2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V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>SUM(E48:V48)</f>
        <v>0</v>
      </c>
      <c r="X48" s="29"/>
    </row>
    <row r="49" spans="1:47" ht="13.5" thickBot="1" x14ac:dyDescent="0.25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V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>SUM(E49:V49)</f>
        <v>0</v>
      </c>
      <c r="X49" s="34"/>
    </row>
    <row r="50" spans="1:47" s="42" customFormat="1" x14ac:dyDescent="0.2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2" customFormat="1" ht="13.5" thickBot="1" x14ac:dyDescent="0.25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2" customFormat="1" x14ac:dyDescent="0.2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39">
        <f>SUM(E52:V52)</f>
        <v>0</v>
      </c>
      <c r="X52" s="136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2" customFormat="1" x14ac:dyDescent="0.2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V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40" t="e">
        <f>SUM(E53:V53)</f>
        <v>#VALUE!</v>
      </c>
      <c r="X53" s="137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2" customFormat="1" ht="13.5" thickBot="1" x14ac:dyDescent="0.25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V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41" t="e">
        <f>SUM(E54:V54)</f>
        <v>#VALUE!</v>
      </c>
      <c r="X54" s="13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2" customFormat="1" x14ac:dyDescent="0.2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5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5" thickBot="1" x14ac:dyDescent="0.25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">
      <c r="A57" s="30" t="s">
        <v>12</v>
      </c>
      <c r="B57" s="73"/>
      <c r="C57" s="63"/>
      <c r="D57" s="63"/>
      <c r="E57" s="64">
        <f t="shared" ref="E57:P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ref="Q57:W57" si="24">Q41</f>
        <v>0</v>
      </c>
      <c r="R57" s="64">
        <f t="shared" si="24"/>
        <v>0</v>
      </c>
      <c r="S57" s="64">
        <f t="shared" si="24"/>
        <v>0</v>
      </c>
      <c r="T57" s="64">
        <f t="shared" si="24"/>
        <v>0</v>
      </c>
      <c r="U57" s="64">
        <f t="shared" si="24"/>
        <v>0</v>
      </c>
      <c r="V57" s="64">
        <f t="shared" si="24"/>
        <v>0</v>
      </c>
      <c r="W57" s="64" t="str">
        <f t="shared" si="24"/>
        <v>Total</v>
      </c>
      <c r="X57" s="65"/>
    </row>
    <row r="58" spans="1:47" x14ac:dyDescent="0.2">
      <c r="A58" s="205" t="s">
        <v>105</v>
      </c>
      <c r="B58" s="70"/>
      <c r="C58" s="28"/>
      <c r="D58" s="28"/>
      <c r="E58" s="36">
        <f t="shared" ref="E58:W58" si="25">E17</f>
        <v>0</v>
      </c>
      <c r="F58" s="36">
        <f t="shared" si="25"/>
        <v>0</v>
      </c>
      <c r="G58" s="36">
        <f t="shared" si="25"/>
        <v>0</v>
      </c>
      <c r="H58" s="36">
        <f t="shared" si="25"/>
        <v>0</v>
      </c>
      <c r="I58" s="36">
        <f t="shared" si="25"/>
        <v>0</v>
      </c>
      <c r="J58" s="36">
        <f t="shared" si="25"/>
        <v>0</v>
      </c>
      <c r="K58" s="36">
        <f t="shared" si="25"/>
        <v>0</v>
      </c>
      <c r="L58" s="36">
        <f t="shared" si="25"/>
        <v>0</v>
      </c>
      <c r="M58" s="36">
        <f t="shared" si="25"/>
        <v>0</v>
      </c>
      <c r="N58" s="36">
        <f t="shared" si="25"/>
        <v>0</v>
      </c>
      <c r="O58" s="36">
        <f t="shared" si="25"/>
        <v>0</v>
      </c>
      <c r="P58" s="36">
        <f t="shared" si="25"/>
        <v>0</v>
      </c>
      <c r="Q58" s="36">
        <f t="shared" si="25"/>
        <v>0</v>
      </c>
      <c r="R58" s="36">
        <f t="shared" si="25"/>
        <v>0</v>
      </c>
      <c r="S58" s="36">
        <f t="shared" si="25"/>
        <v>0</v>
      </c>
      <c r="T58" s="36">
        <f t="shared" si="25"/>
        <v>0</v>
      </c>
      <c r="U58" s="36">
        <f t="shared" si="25"/>
        <v>0</v>
      </c>
      <c r="V58" s="36">
        <f t="shared" si="25"/>
        <v>0</v>
      </c>
      <c r="W58" s="36">
        <f t="shared" si="25"/>
        <v>0</v>
      </c>
      <c r="X58" s="29"/>
    </row>
    <row r="59" spans="1:47" x14ac:dyDescent="0.2">
      <c r="A59" s="205" t="s">
        <v>106</v>
      </c>
      <c r="B59" s="70"/>
      <c r="C59" s="28"/>
      <c r="D59" s="28"/>
      <c r="E59" s="36">
        <f t="shared" ref="E59:T59" si="26">E43</f>
        <v>0</v>
      </c>
      <c r="F59" s="36">
        <f t="shared" si="26"/>
        <v>0</v>
      </c>
      <c r="G59" s="36">
        <f t="shared" si="26"/>
        <v>0</v>
      </c>
      <c r="H59" s="36">
        <f t="shared" si="26"/>
        <v>0</v>
      </c>
      <c r="I59" s="36">
        <f t="shared" si="26"/>
        <v>0</v>
      </c>
      <c r="J59" s="36">
        <f t="shared" si="26"/>
        <v>0</v>
      </c>
      <c r="K59" s="36">
        <f t="shared" si="26"/>
        <v>0</v>
      </c>
      <c r="L59" s="36">
        <f t="shared" si="26"/>
        <v>0</v>
      </c>
      <c r="M59" s="36">
        <f t="shared" si="26"/>
        <v>0</v>
      </c>
      <c r="N59" s="36">
        <f t="shared" si="26"/>
        <v>0</v>
      </c>
      <c r="O59" s="36">
        <f t="shared" si="26"/>
        <v>0</v>
      </c>
      <c r="P59" s="36">
        <f t="shared" si="26"/>
        <v>0</v>
      </c>
      <c r="Q59" s="36">
        <f t="shared" si="26"/>
        <v>0</v>
      </c>
      <c r="R59" s="36">
        <f t="shared" si="26"/>
        <v>0</v>
      </c>
      <c r="S59" s="36">
        <f t="shared" si="26"/>
        <v>0</v>
      </c>
      <c r="T59" s="36">
        <f t="shared" si="26"/>
        <v>0</v>
      </c>
      <c r="U59" s="36">
        <f>U43</f>
        <v>0</v>
      </c>
      <c r="V59" s="36">
        <f>V43</f>
        <v>0</v>
      </c>
      <c r="W59" s="36">
        <f>W43</f>
        <v>0</v>
      </c>
      <c r="X59" s="29"/>
    </row>
    <row r="60" spans="1:47" x14ac:dyDescent="0.2">
      <c r="A60" s="205" t="s">
        <v>112</v>
      </c>
      <c r="B60" s="70"/>
      <c r="C60" s="28"/>
      <c r="D60" s="28"/>
      <c r="E60" s="36">
        <f>E44</f>
        <v>0</v>
      </c>
      <c r="F60" s="36">
        <f t="shared" ref="F60:P60" si="27">F44</f>
        <v>0</v>
      </c>
      <c r="G60" s="36">
        <f t="shared" si="27"/>
        <v>0</v>
      </c>
      <c r="H60" s="36">
        <f t="shared" si="27"/>
        <v>0</v>
      </c>
      <c r="I60" s="36">
        <f t="shared" si="27"/>
        <v>0</v>
      </c>
      <c r="J60" s="36">
        <f t="shared" si="27"/>
        <v>0</v>
      </c>
      <c r="K60" s="36">
        <f t="shared" si="27"/>
        <v>0</v>
      </c>
      <c r="L60" s="36">
        <f t="shared" si="27"/>
        <v>0</v>
      </c>
      <c r="M60" s="36">
        <f t="shared" si="27"/>
        <v>0</v>
      </c>
      <c r="N60" s="36">
        <f t="shared" si="27"/>
        <v>0</v>
      </c>
      <c r="O60" s="36">
        <f t="shared" si="27"/>
        <v>0</v>
      </c>
      <c r="P60" s="36">
        <f t="shared" si="27"/>
        <v>0</v>
      </c>
      <c r="Q60" s="36">
        <f t="shared" ref="Q60:W61" si="28">Q44</f>
        <v>0</v>
      </c>
      <c r="R60" s="36">
        <f t="shared" si="28"/>
        <v>0</v>
      </c>
      <c r="S60" s="36">
        <f t="shared" si="28"/>
        <v>0</v>
      </c>
      <c r="T60" s="36">
        <f t="shared" si="28"/>
        <v>0</v>
      </c>
      <c r="U60" s="36">
        <f t="shared" si="28"/>
        <v>0</v>
      </c>
      <c r="V60" s="36">
        <f t="shared" si="28"/>
        <v>0</v>
      </c>
      <c r="W60" s="36">
        <f t="shared" si="28"/>
        <v>0</v>
      </c>
      <c r="X60" s="29"/>
    </row>
    <row r="61" spans="1:47" x14ac:dyDescent="0.2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V61" si="29">+F60+F52</f>
        <v>#VALUE!</v>
      </c>
      <c r="G61" s="144" t="e">
        <f t="shared" si="29"/>
        <v>#VALUE!</v>
      </c>
      <c r="H61" s="144" t="e">
        <f t="shared" si="29"/>
        <v>#VALUE!</v>
      </c>
      <c r="I61" s="144" t="e">
        <f t="shared" si="29"/>
        <v>#VALUE!</v>
      </c>
      <c r="J61" s="144" t="e">
        <f t="shared" si="29"/>
        <v>#VALUE!</v>
      </c>
      <c r="K61" s="144" t="e">
        <f t="shared" si="29"/>
        <v>#VALUE!</v>
      </c>
      <c r="L61" s="144" t="e">
        <f t="shared" si="29"/>
        <v>#VALUE!</v>
      </c>
      <c r="M61" s="144" t="e">
        <f t="shared" si="29"/>
        <v>#VALUE!</v>
      </c>
      <c r="N61" s="144" t="e">
        <f t="shared" si="29"/>
        <v>#VALUE!</v>
      </c>
      <c r="O61" s="144" t="e">
        <f t="shared" si="29"/>
        <v>#VALUE!</v>
      </c>
      <c r="P61" s="144" t="e">
        <f t="shared" si="29"/>
        <v>#VALUE!</v>
      </c>
      <c r="Q61" s="144" t="e">
        <f t="shared" si="29"/>
        <v>#VALUE!</v>
      </c>
      <c r="R61" s="144" t="e">
        <f t="shared" si="29"/>
        <v>#VALUE!</v>
      </c>
      <c r="S61" s="144" t="e">
        <f t="shared" si="29"/>
        <v>#VALUE!</v>
      </c>
      <c r="T61" s="144" t="e">
        <f t="shared" si="29"/>
        <v>#VALUE!</v>
      </c>
      <c r="U61" s="144" t="e">
        <f t="shared" si="29"/>
        <v>#VALUE!</v>
      </c>
      <c r="V61" s="144" t="e">
        <f t="shared" si="29"/>
        <v>#VALUE!</v>
      </c>
      <c r="W61" s="144">
        <f t="shared" si="28"/>
        <v>0</v>
      </c>
      <c r="X61" s="145"/>
    </row>
    <row r="62" spans="1:47" x14ac:dyDescent="0.2">
      <c r="A62" s="205" t="s">
        <v>108</v>
      </c>
      <c r="B62" s="70"/>
      <c r="C62" s="28"/>
      <c r="D62" s="28"/>
      <c r="E62" s="36">
        <f t="shared" ref="E62:P62" si="30">E45</f>
        <v>0</v>
      </c>
      <c r="F62" s="36">
        <f t="shared" si="30"/>
        <v>0</v>
      </c>
      <c r="G62" s="36">
        <f t="shared" si="30"/>
        <v>0</v>
      </c>
      <c r="H62" s="36">
        <f t="shared" si="30"/>
        <v>0</v>
      </c>
      <c r="I62" s="36">
        <f t="shared" si="30"/>
        <v>0</v>
      </c>
      <c r="J62" s="36">
        <f t="shared" si="30"/>
        <v>0</v>
      </c>
      <c r="K62" s="36">
        <f t="shared" si="30"/>
        <v>0</v>
      </c>
      <c r="L62" s="36">
        <f t="shared" si="30"/>
        <v>0</v>
      </c>
      <c r="M62" s="36">
        <f t="shared" si="30"/>
        <v>0</v>
      </c>
      <c r="N62" s="36">
        <f t="shared" si="30"/>
        <v>0</v>
      </c>
      <c r="O62" s="36">
        <f t="shared" si="30"/>
        <v>0</v>
      </c>
      <c r="P62" s="36">
        <f t="shared" si="30"/>
        <v>0</v>
      </c>
      <c r="Q62" s="36">
        <f t="shared" ref="Q62:W62" si="31">Q45</f>
        <v>0</v>
      </c>
      <c r="R62" s="36">
        <f t="shared" si="31"/>
        <v>0</v>
      </c>
      <c r="S62" s="36">
        <f t="shared" si="31"/>
        <v>0</v>
      </c>
      <c r="T62" s="36">
        <f t="shared" si="31"/>
        <v>0</v>
      </c>
      <c r="U62" s="36">
        <f t="shared" si="31"/>
        <v>0</v>
      </c>
      <c r="V62" s="36">
        <f t="shared" si="31"/>
        <v>0</v>
      </c>
      <c r="W62" s="36">
        <f t="shared" si="31"/>
        <v>0</v>
      </c>
      <c r="X62" s="29"/>
    </row>
    <row r="63" spans="1:47" ht="13.5" thickBot="1" x14ac:dyDescent="0.25">
      <c r="A63" s="207" t="s">
        <v>109</v>
      </c>
      <c r="B63" s="74"/>
      <c r="C63" s="33"/>
      <c r="D63" s="33"/>
      <c r="E63" s="37">
        <f>E46</f>
        <v>0</v>
      </c>
      <c r="F63" s="37">
        <f t="shared" ref="F63:P63" si="32">F46</f>
        <v>0</v>
      </c>
      <c r="G63" s="37">
        <f t="shared" si="32"/>
        <v>0</v>
      </c>
      <c r="H63" s="37">
        <f t="shared" si="32"/>
        <v>0</v>
      </c>
      <c r="I63" s="37">
        <f t="shared" si="32"/>
        <v>0</v>
      </c>
      <c r="J63" s="37">
        <f t="shared" si="32"/>
        <v>0</v>
      </c>
      <c r="K63" s="37">
        <f t="shared" si="32"/>
        <v>0</v>
      </c>
      <c r="L63" s="37">
        <f t="shared" si="32"/>
        <v>0</v>
      </c>
      <c r="M63" s="37">
        <f t="shared" si="32"/>
        <v>0</v>
      </c>
      <c r="N63" s="37">
        <f t="shared" si="32"/>
        <v>0</v>
      </c>
      <c r="O63" s="37">
        <f t="shared" si="32"/>
        <v>0</v>
      </c>
      <c r="P63" s="37">
        <f t="shared" si="32"/>
        <v>0</v>
      </c>
      <c r="Q63" s="37">
        <f t="shared" ref="Q63:W63" si="33">Q46</f>
        <v>0</v>
      </c>
      <c r="R63" s="37">
        <f t="shared" si="33"/>
        <v>0</v>
      </c>
      <c r="S63" s="37">
        <f t="shared" si="33"/>
        <v>0</v>
      </c>
      <c r="T63" s="37">
        <f t="shared" si="33"/>
        <v>0</v>
      </c>
      <c r="U63" s="37">
        <f t="shared" si="33"/>
        <v>0</v>
      </c>
      <c r="V63" s="37">
        <f t="shared" si="33"/>
        <v>0</v>
      </c>
      <c r="W63" s="37">
        <f t="shared" si="33"/>
        <v>0</v>
      </c>
      <c r="X63" s="34"/>
    </row>
    <row r="64" spans="1:47" x14ac:dyDescent="0.2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ht="13.5" thickBot="1" x14ac:dyDescent="0.25">
      <c r="A107" s="16"/>
      <c r="B107" s="7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8"/>
    </row>
  </sheetData>
  <mergeCells count="2">
    <mergeCell ref="A2:R2"/>
    <mergeCell ref="A4:R4"/>
  </mergeCells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G107"/>
  <sheetViews>
    <sheetView showGridLines="0" showZeros="0" topLeftCell="L70" workbookViewId="0">
      <selection activeCell="R8" sqref="R8"/>
    </sheetView>
  </sheetViews>
  <sheetFormatPr defaultRowHeight="12.75" x14ac:dyDescent="0.2"/>
  <cols>
    <col min="1" max="1" width="3.42578125" style="2" customWidth="1"/>
    <col min="2" max="2" width="10.28515625" style="76" customWidth="1"/>
    <col min="3" max="3" width="10.28515625" style="2" customWidth="1"/>
    <col min="4" max="4" width="32" style="2" customWidth="1"/>
    <col min="5" max="10" width="10.28515625" style="2" customWidth="1"/>
    <col min="11" max="28" width="11.28515625" style="2" customWidth="1"/>
    <col min="29" max="29" width="9.7109375" style="2" customWidth="1"/>
    <col min="30" max="30" width="1.7109375" style="2" customWidth="1"/>
    <col min="31" max="53" width="9.140625" style="2"/>
  </cols>
  <sheetData>
    <row r="1" spans="1:59" ht="15.75" x14ac:dyDescent="0.25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24"/>
      <c r="X1" s="24"/>
      <c r="Y1" s="167"/>
      <c r="Z1" s="167"/>
      <c r="AA1" s="167"/>
      <c r="AB1" s="167"/>
      <c r="AC1" s="24"/>
      <c r="AD1" s="5"/>
    </row>
    <row r="2" spans="1:59" ht="30" x14ac:dyDescent="0.4">
      <c r="A2" s="212" t="s">
        <v>97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168" t="s">
        <v>10</v>
      </c>
      <c r="T2" s="169"/>
      <c r="U2" s="169"/>
      <c r="V2" s="170"/>
      <c r="W2" s="177"/>
      <c r="X2" s="177"/>
      <c r="Y2" s="168"/>
      <c r="Z2" s="168"/>
      <c r="AA2" s="169"/>
      <c r="AB2" s="170"/>
      <c r="AC2" s="38"/>
      <c r="AD2" s="6"/>
    </row>
    <row r="3" spans="1:59" ht="14.25" x14ac:dyDescent="0.2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22"/>
      <c r="X3" s="22"/>
      <c r="Y3" s="171"/>
      <c r="Z3" s="171"/>
      <c r="AA3" s="171"/>
      <c r="AB3" s="172"/>
      <c r="AC3" s="22"/>
      <c r="AD3" s="9"/>
    </row>
    <row r="4" spans="1:59" ht="21" thickBot="1" x14ac:dyDescent="0.35">
      <c r="A4" s="214" t="s">
        <v>98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173" t="s">
        <v>11</v>
      </c>
      <c r="T4" s="176"/>
      <c r="U4" s="174"/>
      <c r="V4" s="175"/>
      <c r="W4" s="178"/>
      <c r="X4" s="178"/>
      <c r="Y4" s="173"/>
      <c r="Z4" s="173"/>
      <c r="AA4" s="174"/>
      <c r="AB4" s="175"/>
      <c r="AC4" s="19"/>
      <c r="AD4" s="20"/>
    </row>
    <row r="5" spans="1:59" ht="8.25" customHeight="1" x14ac:dyDescent="0.2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9"/>
    </row>
    <row r="6" spans="1:59" x14ac:dyDescent="0.2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8"/>
      <c r="Y6" s="8"/>
      <c r="Z6" s="8"/>
      <c r="AA6" s="8"/>
      <c r="AB6" s="8"/>
      <c r="AC6" s="8"/>
      <c r="AD6" s="9"/>
      <c r="AE6" s="2" t="s">
        <v>12</v>
      </c>
    </row>
    <row r="7" spans="1:59" x14ac:dyDescent="0.2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8"/>
      <c r="Y7" s="8"/>
      <c r="Z7" s="8"/>
      <c r="AA7" s="8"/>
      <c r="AB7" s="8"/>
      <c r="AC7" s="8"/>
      <c r="AD7" s="9"/>
    </row>
    <row r="8" spans="1:59" ht="18.75" customHeight="1" x14ac:dyDescent="0.2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9"/>
    </row>
    <row r="9" spans="1:59" x14ac:dyDescent="0.2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9" t="s">
        <v>45</v>
      </c>
      <c r="AD9" s="15"/>
      <c r="AE9"/>
      <c r="AF9"/>
      <c r="AG9"/>
      <c r="AH9"/>
      <c r="AI9"/>
      <c r="AJ9"/>
      <c r="AK9"/>
      <c r="AL9"/>
      <c r="AM9"/>
    </row>
    <row r="10" spans="1:59" x14ac:dyDescent="0.2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6">
        <f t="shared" ref="AC10:AC19" si="0">SUM(E10:AB10)</f>
        <v>0</v>
      </c>
      <c r="AD10" s="9"/>
      <c r="AE10"/>
      <c r="AF10"/>
      <c r="AG10"/>
      <c r="AH10"/>
      <c r="AI10"/>
      <c r="AJ10"/>
      <c r="AK10"/>
      <c r="AL10"/>
      <c r="AM10"/>
    </row>
    <row r="11" spans="1:59" x14ac:dyDescent="0.2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12">
        <f t="shared" si="0"/>
        <v>0</v>
      </c>
      <c r="AD11" s="29"/>
      <c r="AE11"/>
      <c r="AF11"/>
      <c r="AG11"/>
      <c r="AH11"/>
      <c r="AI11"/>
      <c r="AJ11"/>
      <c r="AK11"/>
      <c r="AL11"/>
      <c r="AM11"/>
    </row>
    <row r="12" spans="1:59" x14ac:dyDescent="0.2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12">
        <f t="shared" si="0"/>
        <v>0</v>
      </c>
      <c r="AD12" s="29"/>
      <c r="AE12"/>
      <c r="AF12"/>
      <c r="AG12"/>
      <c r="AH12"/>
      <c r="AI12"/>
      <c r="AJ12"/>
      <c r="AK12"/>
      <c r="AL12"/>
      <c r="AM12"/>
    </row>
    <row r="13" spans="1:59" x14ac:dyDescent="0.2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12">
        <f t="shared" si="0"/>
        <v>0</v>
      </c>
      <c r="AD13" s="123"/>
      <c r="AE13"/>
      <c r="AF13"/>
      <c r="AG13"/>
      <c r="AH13"/>
      <c r="AI13"/>
      <c r="AJ13"/>
      <c r="AK13"/>
      <c r="AL13"/>
      <c r="AM13"/>
      <c r="BB13" s="2"/>
      <c r="BC13" s="2"/>
      <c r="BD13" s="2"/>
      <c r="BE13" s="2"/>
      <c r="BF13" s="2"/>
      <c r="BG13" s="2"/>
    </row>
    <row r="14" spans="1:59" x14ac:dyDescent="0.2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18">
        <f t="shared" si="0"/>
        <v>0</v>
      </c>
      <c r="AD14" s="122"/>
      <c r="AE14"/>
      <c r="AF14"/>
      <c r="AG14"/>
      <c r="AH14"/>
      <c r="AI14"/>
      <c r="AJ14"/>
      <c r="AK14"/>
      <c r="AL14"/>
      <c r="AM14"/>
      <c r="BB14" s="2"/>
      <c r="BC14" s="2"/>
      <c r="BD14" s="2"/>
      <c r="BE14" s="2"/>
      <c r="BF14" s="2"/>
      <c r="BG14" s="2"/>
    </row>
    <row r="15" spans="1:59" x14ac:dyDescent="0.2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18">
        <f t="shared" si="0"/>
        <v>0</v>
      </c>
      <c r="AD15" s="122"/>
      <c r="AE15"/>
      <c r="AF15"/>
      <c r="AG15"/>
      <c r="AH15"/>
      <c r="AI15"/>
      <c r="AJ15"/>
      <c r="AK15"/>
      <c r="AL15"/>
      <c r="AM15"/>
      <c r="BB15" s="2"/>
      <c r="BC15" s="2"/>
      <c r="BD15" s="2"/>
      <c r="BE15" s="2"/>
      <c r="BF15" s="2"/>
      <c r="BG15" s="2"/>
    </row>
    <row r="16" spans="1:59" x14ac:dyDescent="0.2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26">
        <f t="shared" si="0"/>
        <v>0</v>
      </c>
      <c r="AD16" s="114"/>
      <c r="AE16"/>
      <c r="AF16"/>
      <c r="AG16"/>
      <c r="AH16"/>
      <c r="AI16"/>
      <c r="AJ16"/>
      <c r="AK16"/>
      <c r="AL16"/>
      <c r="AM16"/>
      <c r="BB16" s="2"/>
      <c r="BC16" s="2"/>
      <c r="BD16" s="2"/>
      <c r="BE16" s="2"/>
      <c r="BF16" s="2"/>
      <c r="BG16" s="2"/>
    </row>
    <row r="17" spans="1:59" s="1" customFormat="1" x14ac:dyDescent="0.2">
      <c r="A17" s="13" t="s">
        <v>49</v>
      </c>
      <c r="B17" s="71"/>
      <c r="C17" s="14"/>
      <c r="D17" s="14"/>
      <c r="E17" s="67">
        <f t="shared" ref="E17:AB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67">
        <f t="shared" si="1"/>
        <v>0</v>
      </c>
      <c r="X17" s="67">
        <f t="shared" si="1"/>
        <v>0</v>
      </c>
      <c r="Y17" s="67">
        <f t="shared" si="1"/>
        <v>0</v>
      </c>
      <c r="Z17" s="67">
        <f t="shared" si="1"/>
        <v>0</v>
      </c>
      <c r="AA17" s="67">
        <f t="shared" si="1"/>
        <v>0</v>
      </c>
      <c r="AB17" s="67">
        <f t="shared" si="1"/>
        <v>0</v>
      </c>
      <c r="AC17" s="26">
        <f t="shared" si="0"/>
        <v>0</v>
      </c>
      <c r="AD17" s="111"/>
      <c r="AE17"/>
      <c r="AF17"/>
      <c r="AG17"/>
      <c r="AH17"/>
      <c r="AI17"/>
      <c r="AJ17"/>
      <c r="AK17"/>
      <c r="AL17"/>
      <c r="AM17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</row>
    <row r="18" spans="1:59" s="89" customFormat="1" x14ac:dyDescent="0.2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AB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86">
        <f t="shared" si="2"/>
        <v>0</v>
      </c>
      <c r="X18" s="86">
        <f t="shared" si="2"/>
        <v>0</v>
      </c>
      <c r="Y18" s="86">
        <f t="shared" si="2"/>
        <v>0</v>
      </c>
      <c r="Z18" s="86">
        <f t="shared" si="2"/>
        <v>0</v>
      </c>
      <c r="AA18" s="86">
        <f t="shared" si="2"/>
        <v>0</v>
      </c>
      <c r="AB18" s="86">
        <f t="shared" si="2"/>
        <v>0</v>
      </c>
      <c r="AC18" s="26">
        <f t="shared" si="0"/>
        <v>0</v>
      </c>
      <c r="AD18" s="111"/>
      <c r="AE18" s="87"/>
      <c r="AF18" s="87"/>
      <c r="AG18" s="87"/>
      <c r="AH18" s="87"/>
      <c r="AI18" s="87"/>
      <c r="AJ18" s="87"/>
      <c r="AK18" s="87"/>
      <c r="AL18" s="87"/>
      <c r="AM18" s="87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</row>
    <row r="19" spans="1:59" s="1" customFormat="1" x14ac:dyDescent="0.2">
      <c r="A19" s="13" t="s">
        <v>50</v>
      </c>
      <c r="B19" s="71"/>
      <c r="C19" s="14"/>
      <c r="D19" s="14"/>
      <c r="E19" s="67">
        <f>E17+E18</f>
        <v>0</v>
      </c>
      <c r="F19" s="67">
        <f t="shared" ref="F19:AB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3"/>
        <v>0</v>
      </c>
      <c r="X19" s="67">
        <f t="shared" si="3"/>
        <v>0</v>
      </c>
      <c r="Y19" s="67">
        <f t="shared" si="3"/>
        <v>0</v>
      </c>
      <c r="Z19" s="67">
        <f t="shared" si="3"/>
        <v>0</v>
      </c>
      <c r="AA19" s="67">
        <f t="shared" si="3"/>
        <v>0</v>
      </c>
      <c r="AB19" s="67">
        <f t="shared" si="3"/>
        <v>0</v>
      </c>
      <c r="AC19" s="67">
        <f t="shared" si="0"/>
        <v>0</v>
      </c>
      <c r="AD19" s="111"/>
      <c r="AE19"/>
      <c r="AF19"/>
      <c r="AG19"/>
      <c r="AH19"/>
      <c r="AI19"/>
      <c r="AJ19"/>
      <c r="AK19"/>
      <c r="AL19"/>
      <c r="AM19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</row>
    <row r="20" spans="1:59" s="1" customFormat="1" ht="14.25" customHeight="1" x14ac:dyDescent="0.2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78"/>
      <c r="AD20" s="15"/>
      <c r="AE20"/>
      <c r="AF20"/>
      <c r="AG20"/>
      <c r="AH20"/>
      <c r="AI20"/>
      <c r="AJ20"/>
      <c r="AK20"/>
      <c r="AL20"/>
      <c r="AM20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1:59" ht="20.100000000000001" customHeight="1" x14ac:dyDescent="0.2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9"/>
      <c r="AE21"/>
      <c r="AF21"/>
      <c r="AG21"/>
      <c r="AH21"/>
      <c r="AI21"/>
      <c r="AJ21"/>
      <c r="AK21"/>
      <c r="AL21"/>
      <c r="AM21"/>
    </row>
    <row r="22" spans="1:59" x14ac:dyDescent="0.2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AC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8">
        <f t="shared" si="4"/>
        <v>0</v>
      </c>
      <c r="X22" s="198">
        <f t="shared" si="4"/>
        <v>0</v>
      </c>
      <c r="Y22" s="198">
        <f t="shared" si="4"/>
        <v>0</v>
      </c>
      <c r="Z22" s="198">
        <f t="shared" si="4"/>
        <v>0</v>
      </c>
      <c r="AA22" s="198">
        <f t="shared" si="4"/>
        <v>0</v>
      </c>
      <c r="AB22" s="198">
        <f t="shared" si="4"/>
        <v>0</v>
      </c>
      <c r="AC22" s="199" t="str">
        <f t="shared" si="4"/>
        <v>Total</v>
      </c>
      <c r="AD22" s="200"/>
    </row>
    <row r="23" spans="1:59" x14ac:dyDescent="0.2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64" t="s">
        <v>91</v>
      </c>
      <c r="X23" s="164" t="s">
        <v>92</v>
      </c>
      <c r="Y23" s="164" t="s">
        <v>93</v>
      </c>
      <c r="Z23" s="164" t="s">
        <v>94</v>
      </c>
      <c r="AA23" s="164" t="s">
        <v>95</v>
      </c>
      <c r="AB23" s="164" t="s">
        <v>96</v>
      </c>
      <c r="AC23" s="101">
        <f t="shared" ref="AC23:AC27" si="5">SUM(E23:AB23)</f>
        <v>0</v>
      </c>
      <c r="AD23" s="201" t="s">
        <v>101</v>
      </c>
    </row>
    <row r="24" spans="1:59" x14ac:dyDescent="0.2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88" t="s">
        <v>103</v>
      </c>
      <c r="X24" s="188" t="s">
        <v>103</v>
      </c>
      <c r="Y24" s="188" t="s">
        <v>103</v>
      </c>
      <c r="Z24" s="188" t="s">
        <v>103</v>
      </c>
      <c r="AA24" s="188" t="s">
        <v>103</v>
      </c>
      <c r="AB24" s="188" t="s">
        <v>103</v>
      </c>
      <c r="AC24" s="101" t="s">
        <v>103</v>
      </c>
      <c r="AD24" s="201"/>
    </row>
    <row r="25" spans="1:59" x14ac:dyDescent="0.2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01">
        <f t="shared" si="5"/>
        <v>0</v>
      </c>
      <c r="AD25" s="201"/>
    </row>
    <row r="26" spans="1:59" x14ac:dyDescent="0.2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/>
      <c r="V26" s="164"/>
      <c r="W26" s="164"/>
      <c r="X26" s="164"/>
      <c r="Y26" s="164"/>
      <c r="Z26" s="164"/>
      <c r="AA26" s="164">
        <v>0</v>
      </c>
      <c r="AB26" s="164">
        <v>0</v>
      </c>
      <c r="AC26" s="101">
        <f t="shared" si="5"/>
        <v>0</v>
      </c>
      <c r="AD26" s="201"/>
    </row>
    <row r="27" spans="1:59" x14ac:dyDescent="0.2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/>
      <c r="V27" s="193"/>
      <c r="W27" s="193"/>
      <c r="X27" s="193"/>
      <c r="Y27" s="193"/>
      <c r="Z27" s="193"/>
      <c r="AA27" s="193">
        <v>0</v>
      </c>
      <c r="AB27" s="193">
        <v>0</v>
      </c>
      <c r="AC27" s="202">
        <f t="shared" si="5"/>
        <v>0</v>
      </c>
      <c r="AD27" s="203"/>
    </row>
    <row r="28" spans="1:59" s="1" customFormat="1" x14ac:dyDescent="0.2">
      <c r="A28" s="13" t="s">
        <v>43</v>
      </c>
      <c r="B28" s="71"/>
      <c r="C28" s="14"/>
      <c r="D28" s="14"/>
      <c r="E28" s="35">
        <f t="shared" ref="E28:AC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35">
        <f t="shared" si="6"/>
        <v>0</v>
      </c>
      <c r="Y28" s="35">
        <f t="shared" si="6"/>
        <v>0</v>
      </c>
      <c r="Z28" s="35">
        <f t="shared" si="6"/>
        <v>0</v>
      </c>
      <c r="AA28" s="35">
        <f t="shared" si="6"/>
        <v>0</v>
      </c>
      <c r="AB28" s="35">
        <f t="shared" si="6"/>
        <v>0</v>
      </c>
      <c r="AC28" s="35">
        <f t="shared" si="6"/>
        <v>0</v>
      </c>
      <c r="AD28" s="15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9" s="42" customFormat="1" x14ac:dyDescent="0.2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166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</row>
    <row r="30" spans="1:59" x14ac:dyDescent="0.2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9"/>
    </row>
    <row r="31" spans="1:59" x14ac:dyDescent="0.2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AC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8">
        <f t="shared" si="7"/>
        <v>0</v>
      </c>
      <c r="X31" s="198">
        <f t="shared" si="7"/>
        <v>0</v>
      </c>
      <c r="Y31" s="198">
        <f t="shared" si="7"/>
        <v>0</v>
      </c>
      <c r="Z31" s="198">
        <f t="shared" si="7"/>
        <v>0</v>
      </c>
      <c r="AA31" s="198">
        <f t="shared" si="7"/>
        <v>0</v>
      </c>
      <c r="AB31" s="198">
        <f t="shared" si="7"/>
        <v>0</v>
      </c>
      <c r="AC31" s="199" t="str">
        <f t="shared" si="7"/>
        <v>Total</v>
      </c>
      <c r="AD31" s="113"/>
    </row>
    <row r="32" spans="1:59" x14ac:dyDescent="0.2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64" t="s">
        <v>91</v>
      </c>
      <c r="X32" s="164" t="s">
        <v>92</v>
      </c>
      <c r="Y32" s="164" t="s">
        <v>93</v>
      </c>
      <c r="Z32" s="164" t="s">
        <v>94</v>
      </c>
      <c r="AA32" s="164" t="s">
        <v>95</v>
      </c>
      <c r="AB32" s="164" t="s">
        <v>96</v>
      </c>
      <c r="AC32" s="101">
        <f t="shared" ref="AC32:AC36" si="8">SUM(E32:AB32)</f>
        <v>0</v>
      </c>
      <c r="AD32" s="181" t="s">
        <v>101</v>
      </c>
    </row>
    <row r="33" spans="1:59" x14ac:dyDescent="0.2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88" t="s">
        <v>103</v>
      </c>
      <c r="X33" s="188" t="s">
        <v>103</v>
      </c>
      <c r="Y33" s="188" t="s">
        <v>103</v>
      </c>
      <c r="Z33" s="188" t="s">
        <v>103</v>
      </c>
      <c r="AA33" s="188" t="s">
        <v>103</v>
      </c>
      <c r="AB33" s="188" t="s">
        <v>103</v>
      </c>
      <c r="AC33" s="101" t="s">
        <v>103</v>
      </c>
      <c r="AD33" s="182"/>
    </row>
    <row r="34" spans="1:59" x14ac:dyDescent="0.2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/>
      <c r="V34" s="164"/>
      <c r="W34" s="164"/>
      <c r="X34" s="164"/>
      <c r="Y34" s="164"/>
      <c r="Z34" s="164"/>
      <c r="AA34" s="164">
        <v>0</v>
      </c>
      <c r="AB34" s="164">
        <v>0</v>
      </c>
      <c r="AC34" s="101">
        <f t="shared" si="8"/>
        <v>0</v>
      </c>
      <c r="AD34" s="182"/>
    </row>
    <row r="35" spans="1:59" x14ac:dyDescent="0.2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/>
      <c r="V35" s="164"/>
      <c r="W35" s="164"/>
      <c r="X35" s="164"/>
      <c r="Y35" s="164"/>
      <c r="Z35" s="164"/>
      <c r="AA35" s="164">
        <v>0</v>
      </c>
      <c r="AB35" s="164">
        <v>0</v>
      </c>
      <c r="AC35" s="101">
        <f t="shared" si="8"/>
        <v>0</v>
      </c>
      <c r="AD35" s="182"/>
    </row>
    <row r="36" spans="1:59" x14ac:dyDescent="0.2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/>
      <c r="V36" s="193"/>
      <c r="W36" s="193"/>
      <c r="X36" s="193"/>
      <c r="Y36" s="193"/>
      <c r="Z36" s="193"/>
      <c r="AA36" s="193">
        <v>0</v>
      </c>
      <c r="AB36" s="193">
        <v>0</v>
      </c>
      <c r="AC36" s="194">
        <f t="shared" si="8"/>
        <v>0</v>
      </c>
      <c r="AD36" s="182"/>
    </row>
    <row r="37" spans="1:59" s="1" customFormat="1" x14ac:dyDescent="0.2">
      <c r="A37" s="91" t="s">
        <v>53</v>
      </c>
      <c r="B37" s="92"/>
      <c r="C37" s="93"/>
      <c r="D37" s="93"/>
      <c r="E37" s="94">
        <f t="shared" ref="E37:AC38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94">
        <f t="shared" si="9"/>
        <v>0</v>
      </c>
      <c r="Y37" s="94">
        <f t="shared" si="9"/>
        <v>0</v>
      </c>
      <c r="Z37" s="94">
        <f t="shared" si="9"/>
        <v>0</v>
      </c>
      <c r="AA37" s="94">
        <f t="shared" si="9"/>
        <v>0</v>
      </c>
      <c r="AB37" s="94">
        <f t="shared" si="9"/>
        <v>0</v>
      </c>
      <c r="AC37" s="94">
        <f t="shared" si="9"/>
        <v>0</v>
      </c>
      <c r="AD37" s="95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</row>
    <row r="38" spans="1:59" s="1" customFormat="1" x14ac:dyDescent="0.2">
      <c r="A38" s="96" t="s">
        <v>56</v>
      </c>
      <c r="B38" s="97"/>
      <c r="C38" s="98"/>
      <c r="D38" s="99"/>
      <c r="E38" s="100">
        <f t="shared" ref="E38:AC38" si="10">SUMIF($AD32:$AD36,1,E32:E36)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9"/>
        <v>0</v>
      </c>
      <c r="V38" s="100">
        <f t="shared" si="9"/>
        <v>0</v>
      </c>
      <c r="W38" s="100">
        <f t="shared" si="9"/>
        <v>0</v>
      </c>
      <c r="X38" s="100">
        <f t="shared" si="9"/>
        <v>0</v>
      </c>
      <c r="Y38" s="100">
        <f t="shared" si="9"/>
        <v>0</v>
      </c>
      <c r="Z38" s="100">
        <f t="shared" si="9"/>
        <v>0</v>
      </c>
      <c r="AA38" s="100">
        <f t="shared" si="9"/>
        <v>0</v>
      </c>
      <c r="AB38" s="100">
        <f t="shared" si="9"/>
        <v>0</v>
      </c>
      <c r="AC38" s="101">
        <f t="shared" si="10"/>
        <v>0</v>
      </c>
      <c r="AD38" s="102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</row>
    <row r="39" spans="1:59" s="1" customFormat="1" x14ac:dyDescent="0.2">
      <c r="A39" s="103" t="s">
        <v>58</v>
      </c>
      <c r="B39" s="104"/>
      <c r="C39" s="105"/>
      <c r="D39" s="106"/>
      <c r="E39" s="107">
        <f>E37-E38</f>
        <v>0</v>
      </c>
      <c r="F39" s="107">
        <f t="shared" ref="F39:AC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7">
        <f t="shared" si="11"/>
        <v>0</v>
      </c>
      <c r="X39" s="107">
        <f t="shared" si="11"/>
        <v>0</v>
      </c>
      <c r="Y39" s="107">
        <f t="shared" si="11"/>
        <v>0</v>
      </c>
      <c r="Z39" s="107">
        <f t="shared" si="11"/>
        <v>0</v>
      </c>
      <c r="AA39" s="107">
        <f t="shared" si="11"/>
        <v>0</v>
      </c>
      <c r="AB39" s="107">
        <f t="shared" si="11"/>
        <v>0</v>
      </c>
      <c r="AC39" s="108">
        <f t="shared" si="11"/>
        <v>0</v>
      </c>
      <c r="AD39" s="109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</row>
    <row r="40" spans="1:59" ht="13.5" thickBot="1" x14ac:dyDescent="0.25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9"/>
    </row>
    <row r="41" spans="1:59" x14ac:dyDescent="0.2">
      <c r="A41" s="30" t="s">
        <v>12</v>
      </c>
      <c r="B41" s="73"/>
      <c r="C41" s="63"/>
      <c r="D41" s="63"/>
      <c r="E41" s="64">
        <f t="shared" ref="E41:AC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>
        <f t="shared" si="12"/>
        <v>0</v>
      </c>
      <c r="X41" s="64">
        <f t="shared" si="12"/>
        <v>0</v>
      </c>
      <c r="Y41" s="64">
        <f t="shared" si="12"/>
        <v>0</v>
      </c>
      <c r="Z41" s="64">
        <f t="shared" si="12"/>
        <v>0</v>
      </c>
      <c r="AA41" s="64">
        <f t="shared" si="12"/>
        <v>0</v>
      </c>
      <c r="AB41" s="64">
        <f t="shared" si="12"/>
        <v>0</v>
      </c>
      <c r="AC41" s="64" t="str">
        <f t="shared" si="12"/>
        <v>Total</v>
      </c>
      <c r="AD41" s="5"/>
    </row>
    <row r="42" spans="1:59" x14ac:dyDescent="0.2">
      <c r="A42" s="205" t="s">
        <v>105</v>
      </c>
      <c r="B42" s="70"/>
      <c r="C42" s="28"/>
      <c r="D42" s="28"/>
      <c r="E42" s="36">
        <f t="shared" ref="E42:AB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 t="shared" si="13"/>
        <v>0</v>
      </c>
      <c r="X42" s="36">
        <f t="shared" si="13"/>
        <v>0</v>
      </c>
      <c r="Y42" s="36">
        <f t="shared" si="13"/>
        <v>0</v>
      </c>
      <c r="Z42" s="36">
        <f t="shared" si="13"/>
        <v>0</v>
      </c>
      <c r="AA42" s="36">
        <f t="shared" si="13"/>
        <v>0</v>
      </c>
      <c r="AB42" s="36">
        <f t="shared" si="13"/>
        <v>0</v>
      </c>
      <c r="AC42" s="36">
        <f>SUM(E42:AB42)</f>
        <v>0</v>
      </c>
      <c r="AD42" s="29"/>
    </row>
    <row r="43" spans="1:59" x14ac:dyDescent="0.2">
      <c r="A43" s="205" t="s">
        <v>106</v>
      </c>
      <c r="B43" s="70"/>
      <c r="C43" s="28"/>
      <c r="D43" s="28"/>
      <c r="E43" s="36">
        <f t="shared" ref="E43:AB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 t="shared" si="14"/>
        <v>0</v>
      </c>
      <c r="X43" s="36">
        <f t="shared" si="14"/>
        <v>0</v>
      </c>
      <c r="Y43" s="36">
        <f t="shared" si="14"/>
        <v>0</v>
      </c>
      <c r="Z43" s="36">
        <f t="shared" si="14"/>
        <v>0</v>
      </c>
      <c r="AA43" s="36">
        <f t="shared" si="14"/>
        <v>0</v>
      </c>
      <c r="AB43" s="36">
        <f t="shared" si="14"/>
        <v>0</v>
      </c>
      <c r="AC43" s="36">
        <f>SUM(E43:AB43)</f>
        <v>0</v>
      </c>
      <c r="AD43" s="110">
        <f>AD17+AD18+AD19</f>
        <v>0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 s="2"/>
      <c r="BC43" s="2"/>
      <c r="BD43" s="2"/>
      <c r="BE43" s="2"/>
      <c r="BF43" s="2"/>
      <c r="BG43" s="2"/>
    </row>
    <row r="44" spans="1:59" x14ac:dyDescent="0.2">
      <c r="A44" s="205" t="s">
        <v>107</v>
      </c>
      <c r="B44" s="70"/>
      <c r="C44" s="28"/>
      <c r="D44" s="28"/>
      <c r="E44" s="36">
        <f t="shared" ref="E44:AC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36">
        <f t="shared" si="15"/>
        <v>0</v>
      </c>
      <c r="Y44" s="36">
        <f t="shared" si="15"/>
        <v>0</v>
      </c>
      <c r="Z44" s="36">
        <f t="shared" si="15"/>
        <v>0</v>
      </c>
      <c r="AA44" s="36">
        <f t="shared" si="15"/>
        <v>0</v>
      </c>
      <c r="AB44" s="36">
        <f t="shared" si="15"/>
        <v>0</v>
      </c>
      <c r="AC44" s="36">
        <f t="shared" si="15"/>
        <v>0</v>
      </c>
      <c r="AD44" s="29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9" x14ac:dyDescent="0.2">
      <c r="A45" s="205" t="s">
        <v>108</v>
      </c>
      <c r="B45" s="70"/>
      <c r="C45" s="28"/>
      <c r="D45" s="28"/>
      <c r="E45" s="36">
        <f t="shared" ref="E45:AB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 t="shared" si="16"/>
        <v>0</v>
      </c>
      <c r="X45" s="36">
        <f t="shared" si="16"/>
        <v>0</v>
      </c>
      <c r="Y45" s="36">
        <f t="shared" si="16"/>
        <v>0</v>
      </c>
      <c r="Z45" s="36">
        <f t="shared" si="16"/>
        <v>0</v>
      </c>
      <c r="AA45" s="36">
        <f t="shared" si="16"/>
        <v>0</v>
      </c>
      <c r="AB45" s="36">
        <f t="shared" si="16"/>
        <v>0</v>
      </c>
      <c r="AC45" s="36">
        <f>SUM(E45:AB45)</f>
        <v>0</v>
      </c>
      <c r="AD45" s="29"/>
    </row>
    <row r="46" spans="1:59" x14ac:dyDescent="0.2">
      <c r="A46" s="205" t="s">
        <v>109</v>
      </c>
      <c r="B46" s="70"/>
      <c r="C46" s="28"/>
      <c r="D46" s="28"/>
      <c r="E46" s="36">
        <f t="shared" ref="E46:AB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 t="shared" si="17"/>
        <v>0</v>
      </c>
      <c r="X46" s="36">
        <f t="shared" si="17"/>
        <v>0</v>
      </c>
      <c r="Y46" s="36">
        <f t="shared" si="17"/>
        <v>0</v>
      </c>
      <c r="Z46" s="36">
        <f t="shared" si="17"/>
        <v>0</v>
      </c>
      <c r="AA46" s="36">
        <f t="shared" si="17"/>
        <v>0</v>
      </c>
      <c r="AB46" s="36">
        <f t="shared" si="17"/>
        <v>0</v>
      </c>
      <c r="AC46" s="36">
        <f>SUM(E46:AB46)</f>
        <v>0</v>
      </c>
      <c r="AD46" s="29"/>
    </row>
    <row r="47" spans="1:59" x14ac:dyDescent="0.2">
      <c r="A47" s="13" t="s">
        <v>110</v>
      </c>
      <c r="B47" s="70"/>
      <c r="C47" s="28"/>
      <c r="D47" s="28"/>
      <c r="E47" s="36">
        <f t="shared" ref="E47:AB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 t="shared" si="18"/>
        <v>0</v>
      </c>
      <c r="X47" s="36">
        <f t="shared" si="18"/>
        <v>0</v>
      </c>
      <c r="Y47" s="36">
        <f t="shared" si="18"/>
        <v>0</v>
      </c>
      <c r="Z47" s="36">
        <f t="shared" si="18"/>
        <v>0</v>
      </c>
      <c r="AA47" s="36">
        <f t="shared" si="18"/>
        <v>0</v>
      </c>
      <c r="AB47" s="36">
        <f t="shared" si="18"/>
        <v>0</v>
      </c>
      <c r="AC47" s="36">
        <f>SUM(E47:AB47)</f>
        <v>0</v>
      </c>
      <c r="AD47" s="29"/>
    </row>
    <row r="48" spans="1:59" x14ac:dyDescent="0.2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AB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 t="shared" si="19"/>
        <v>0</v>
      </c>
      <c r="X48" s="36">
        <f t="shared" si="19"/>
        <v>0</v>
      </c>
      <c r="Y48" s="36">
        <f t="shared" si="19"/>
        <v>0</v>
      </c>
      <c r="Z48" s="36">
        <f t="shared" si="19"/>
        <v>0</v>
      </c>
      <c r="AA48" s="36">
        <f t="shared" si="19"/>
        <v>0</v>
      </c>
      <c r="AB48" s="36">
        <f t="shared" si="19"/>
        <v>0</v>
      </c>
      <c r="AC48" s="36">
        <f>SUM(E48:AB48)</f>
        <v>0</v>
      </c>
      <c r="AD48" s="29"/>
    </row>
    <row r="49" spans="1:53" ht="13.5" thickBot="1" x14ac:dyDescent="0.25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AB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 t="shared" si="20"/>
        <v>0</v>
      </c>
      <c r="X49" s="37">
        <f t="shared" si="20"/>
        <v>0</v>
      </c>
      <c r="Y49" s="37">
        <f t="shared" si="20"/>
        <v>0</v>
      </c>
      <c r="Z49" s="37">
        <f t="shared" si="20"/>
        <v>0</v>
      </c>
      <c r="AA49" s="37">
        <f t="shared" si="20"/>
        <v>0</v>
      </c>
      <c r="AB49" s="37">
        <f t="shared" si="20"/>
        <v>0</v>
      </c>
      <c r="AC49" s="37">
        <f>SUM(E49:AB49)</f>
        <v>0</v>
      </c>
      <c r="AD49" s="34"/>
    </row>
    <row r="50" spans="1:53" s="42" customFormat="1" x14ac:dyDescent="0.2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5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</row>
    <row r="51" spans="1:53" s="42" customFormat="1" ht="13.5" thickBot="1" x14ac:dyDescent="0.25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1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</row>
    <row r="52" spans="1:53" s="42" customFormat="1" x14ac:dyDescent="0.2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27" t="s">
        <v>91</v>
      </c>
      <c r="X52" s="127" t="s">
        <v>92</v>
      </c>
      <c r="Y52" s="127" t="s">
        <v>93</v>
      </c>
      <c r="Z52" s="127" t="s">
        <v>94</v>
      </c>
      <c r="AA52" s="127" t="s">
        <v>95</v>
      </c>
      <c r="AB52" s="127" t="s">
        <v>96</v>
      </c>
      <c r="AC52" s="139">
        <f>SUM(E52:AB52)</f>
        <v>0</v>
      </c>
      <c r="AD52" s="136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</row>
    <row r="53" spans="1:53" s="42" customFormat="1" x14ac:dyDescent="0.2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AB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31" t="e">
        <f t="shared" si="21"/>
        <v>#VALUE!</v>
      </c>
      <c r="X53" s="131" t="e">
        <f t="shared" si="21"/>
        <v>#VALUE!</v>
      </c>
      <c r="Y53" s="131" t="e">
        <f t="shared" si="21"/>
        <v>#VALUE!</v>
      </c>
      <c r="Z53" s="131" t="e">
        <f t="shared" si="21"/>
        <v>#VALUE!</v>
      </c>
      <c r="AA53" s="131" t="e">
        <f t="shared" si="21"/>
        <v>#VALUE!</v>
      </c>
      <c r="AB53" s="131" t="e">
        <f t="shared" si="21"/>
        <v>#VALUE!</v>
      </c>
      <c r="AC53" s="140" t="e">
        <f>SUM(E53:AB53)</f>
        <v>#VALUE!</v>
      </c>
      <c r="AD53" s="137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</row>
    <row r="54" spans="1:53" s="42" customFormat="1" ht="13.5" thickBot="1" x14ac:dyDescent="0.25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AB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35" t="e">
        <f t="shared" si="22"/>
        <v>#VALUE!</v>
      </c>
      <c r="X54" s="135" t="e">
        <f t="shared" si="22"/>
        <v>#VALUE!</v>
      </c>
      <c r="Y54" s="135" t="e">
        <f t="shared" si="22"/>
        <v>#VALUE!</v>
      </c>
      <c r="Z54" s="135" t="e">
        <f t="shared" si="22"/>
        <v>#VALUE!</v>
      </c>
      <c r="AA54" s="135" t="e">
        <f t="shared" si="22"/>
        <v>#VALUE!</v>
      </c>
      <c r="AB54" s="135" t="e">
        <f t="shared" si="22"/>
        <v>#VALUE!</v>
      </c>
      <c r="AC54" s="141" t="e">
        <f>SUM(E54:AB54)</f>
        <v>#VALUE!</v>
      </c>
      <c r="AD54" s="13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</row>
    <row r="55" spans="1:53" s="42" customFormat="1" x14ac:dyDescent="0.2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5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</row>
    <row r="56" spans="1:53" ht="13.5" thickBot="1" x14ac:dyDescent="0.25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8"/>
    </row>
    <row r="57" spans="1:53" x14ac:dyDescent="0.2">
      <c r="A57" s="30" t="s">
        <v>12</v>
      </c>
      <c r="B57" s="73"/>
      <c r="C57" s="63"/>
      <c r="D57" s="63"/>
      <c r="E57" s="64">
        <f t="shared" ref="E57:AC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si="23"/>
        <v>0</v>
      </c>
      <c r="R57" s="64">
        <f t="shared" si="23"/>
        <v>0</v>
      </c>
      <c r="S57" s="64">
        <f t="shared" si="23"/>
        <v>0</v>
      </c>
      <c r="T57" s="64">
        <f t="shared" si="23"/>
        <v>0</v>
      </c>
      <c r="U57" s="64">
        <f t="shared" si="23"/>
        <v>0</v>
      </c>
      <c r="V57" s="64">
        <f t="shared" si="23"/>
        <v>0</v>
      </c>
      <c r="W57" s="64">
        <f t="shared" si="23"/>
        <v>0</v>
      </c>
      <c r="X57" s="64">
        <f t="shared" si="23"/>
        <v>0</v>
      </c>
      <c r="Y57" s="64">
        <f t="shared" si="23"/>
        <v>0</v>
      </c>
      <c r="Z57" s="64">
        <f t="shared" si="23"/>
        <v>0</v>
      </c>
      <c r="AA57" s="64">
        <f t="shared" si="23"/>
        <v>0</v>
      </c>
      <c r="AB57" s="64">
        <f t="shared" si="23"/>
        <v>0</v>
      </c>
      <c r="AC57" s="64" t="str">
        <f t="shared" si="23"/>
        <v>Total</v>
      </c>
      <c r="AD57" s="65"/>
    </row>
    <row r="58" spans="1:53" x14ac:dyDescent="0.2">
      <c r="A58" s="205" t="s">
        <v>105</v>
      </c>
      <c r="B58" s="70"/>
      <c r="C58" s="28"/>
      <c r="D58" s="28"/>
      <c r="E58" s="36">
        <f t="shared" ref="E58:AC58" si="24">E17</f>
        <v>0</v>
      </c>
      <c r="F58" s="36">
        <f t="shared" si="24"/>
        <v>0</v>
      </c>
      <c r="G58" s="36">
        <f t="shared" si="24"/>
        <v>0</v>
      </c>
      <c r="H58" s="36">
        <f t="shared" si="24"/>
        <v>0</v>
      </c>
      <c r="I58" s="36">
        <f t="shared" si="24"/>
        <v>0</v>
      </c>
      <c r="J58" s="36">
        <f t="shared" si="24"/>
        <v>0</v>
      </c>
      <c r="K58" s="36">
        <f t="shared" si="24"/>
        <v>0</v>
      </c>
      <c r="L58" s="36">
        <f t="shared" si="24"/>
        <v>0</v>
      </c>
      <c r="M58" s="36">
        <f t="shared" si="24"/>
        <v>0</v>
      </c>
      <c r="N58" s="36">
        <f t="shared" si="24"/>
        <v>0</v>
      </c>
      <c r="O58" s="36">
        <f t="shared" si="24"/>
        <v>0</v>
      </c>
      <c r="P58" s="36">
        <f t="shared" si="24"/>
        <v>0</v>
      </c>
      <c r="Q58" s="36">
        <f t="shared" si="24"/>
        <v>0</v>
      </c>
      <c r="R58" s="36">
        <f t="shared" si="24"/>
        <v>0</v>
      </c>
      <c r="S58" s="36">
        <f t="shared" si="24"/>
        <v>0</v>
      </c>
      <c r="T58" s="36">
        <f t="shared" si="24"/>
        <v>0</v>
      </c>
      <c r="U58" s="36">
        <f t="shared" si="24"/>
        <v>0</v>
      </c>
      <c r="V58" s="36">
        <f t="shared" si="24"/>
        <v>0</v>
      </c>
      <c r="W58" s="36">
        <f t="shared" si="24"/>
        <v>0</v>
      </c>
      <c r="X58" s="36">
        <f t="shared" si="24"/>
        <v>0</v>
      </c>
      <c r="Y58" s="36">
        <f t="shared" si="24"/>
        <v>0</v>
      </c>
      <c r="Z58" s="36">
        <f t="shared" si="24"/>
        <v>0</v>
      </c>
      <c r="AA58" s="36">
        <f t="shared" si="24"/>
        <v>0</v>
      </c>
      <c r="AB58" s="36">
        <f t="shared" si="24"/>
        <v>0</v>
      </c>
      <c r="AC58" s="36">
        <f t="shared" si="24"/>
        <v>0</v>
      </c>
      <c r="AD58" s="29"/>
    </row>
    <row r="59" spans="1:53" x14ac:dyDescent="0.2">
      <c r="A59" s="205" t="s">
        <v>106</v>
      </c>
      <c r="B59" s="70"/>
      <c r="C59" s="28"/>
      <c r="D59" s="28"/>
      <c r="E59" s="36">
        <f t="shared" ref="E59:U60" si="25">E43</f>
        <v>0</v>
      </c>
      <c r="F59" s="36">
        <f t="shared" si="25"/>
        <v>0</v>
      </c>
      <c r="G59" s="36">
        <f t="shared" si="25"/>
        <v>0</v>
      </c>
      <c r="H59" s="36">
        <f t="shared" si="25"/>
        <v>0</v>
      </c>
      <c r="I59" s="36">
        <f t="shared" si="25"/>
        <v>0</v>
      </c>
      <c r="J59" s="36">
        <f t="shared" si="25"/>
        <v>0</v>
      </c>
      <c r="K59" s="36">
        <f t="shared" si="25"/>
        <v>0</v>
      </c>
      <c r="L59" s="36">
        <f t="shared" si="25"/>
        <v>0</v>
      </c>
      <c r="M59" s="36">
        <f t="shared" si="25"/>
        <v>0</v>
      </c>
      <c r="N59" s="36">
        <f t="shared" si="25"/>
        <v>0</v>
      </c>
      <c r="O59" s="36">
        <f t="shared" si="25"/>
        <v>0</v>
      </c>
      <c r="P59" s="36">
        <f t="shared" si="25"/>
        <v>0</v>
      </c>
      <c r="Q59" s="36">
        <f t="shared" si="25"/>
        <v>0</v>
      </c>
      <c r="R59" s="36">
        <f t="shared" si="25"/>
        <v>0</v>
      </c>
      <c r="S59" s="36">
        <f t="shared" si="25"/>
        <v>0</v>
      </c>
      <c r="T59" s="36">
        <f t="shared" si="25"/>
        <v>0</v>
      </c>
      <c r="U59" s="36">
        <f t="shared" si="25"/>
        <v>0</v>
      </c>
      <c r="V59" s="36">
        <f t="shared" ref="V59:AB60" si="26">V43</f>
        <v>0</v>
      </c>
      <c r="W59" s="36">
        <f t="shared" si="26"/>
        <v>0</v>
      </c>
      <c r="X59" s="36">
        <f t="shared" si="26"/>
        <v>0</v>
      </c>
      <c r="Y59" s="36">
        <f t="shared" si="26"/>
        <v>0</v>
      </c>
      <c r="Z59" s="36">
        <f t="shared" si="26"/>
        <v>0</v>
      </c>
      <c r="AA59" s="36">
        <f t="shared" si="26"/>
        <v>0</v>
      </c>
      <c r="AB59" s="36">
        <f t="shared" si="26"/>
        <v>0</v>
      </c>
      <c r="AC59" s="36">
        <f>AC43</f>
        <v>0</v>
      </c>
      <c r="AD59" s="29"/>
    </row>
    <row r="60" spans="1:53" x14ac:dyDescent="0.2">
      <c r="A60" s="205" t="s">
        <v>112</v>
      </c>
      <c r="B60" s="70"/>
      <c r="C60" s="28"/>
      <c r="D60" s="28"/>
      <c r="E60" s="36">
        <f>E44</f>
        <v>0</v>
      </c>
      <c r="F60" s="36">
        <f t="shared" si="25"/>
        <v>0</v>
      </c>
      <c r="G60" s="36">
        <f t="shared" si="25"/>
        <v>0</v>
      </c>
      <c r="H60" s="36">
        <f t="shared" si="25"/>
        <v>0</v>
      </c>
      <c r="I60" s="36">
        <f t="shared" si="25"/>
        <v>0</v>
      </c>
      <c r="J60" s="36">
        <f t="shared" si="25"/>
        <v>0</v>
      </c>
      <c r="K60" s="36">
        <f t="shared" si="25"/>
        <v>0</v>
      </c>
      <c r="L60" s="36">
        <f t="shared" si="25"/>
        <v>0</v>
      </c>
      <c r="M60" s="36">
        <f t="shared" si="25"/>
        <v>0</v>
      </c>
      <c r="N60" s="36">
        <f t="shared" si="25"/>
        <v>0</v>
      </c>
      <c r="O60" s="36">
        <f t="shared" si="25"/>
        <v>0</v>
      </c>
      <c r="P60" s="36">
        <f t="shared" si="25"/>
        <v>0</v>
      </c>
      <c r="Q60" s="36">
        <f t="shared" si="25"/>
        <v>0</v>
      </c>
      <c r="R60" s="36">
        <f t="shared" si="25"/>
        <v>0</v>
      </c>
      <c r="S60" s="36">
        <f t="shared" si="25"/>
        <v>0</v>
      </c>
      <c r="T60" s="36">
        <f t="shared" si="25"/>
        <v>0</v>
      </c>
      <c r="U60" s="36">
        <f t="shared" si="25"/>
        <v>0</v>
      </c>
      <c r="V60" s="36">
        <f t="shared" si="26"/>
        <v>0</v>
      </c>
      <c r="W60" s="36">
        <f t="shared" si="26"/>
        <v>0</v>
      </c>
      <c r="X60" s="36">
        <f t="shared" si="26"/>
        <v>0</v>
      </c>
      <c r="Y60" s="36">
        <f t="shared" si="26"/>
        <v>0</v>
      </c>
      <c r="Z60" s="36">
        <f t="shared" si="26"/>
        <v>0</v>
      </c>
      <c r="AA60" s="36">
        <f t="shared" si="26"/>
        <v>0</v>
      </c>
      <c r="AB60" s="36">
        <f t="shared" si="26"/>
        <v>0</v>
      </c>
      <c r="AC60" s="36">
        <f t="shared" ref="AC60:AC61" si="27">AC44</f>
        <v>0</v>
      </c>
      <c r="AD60" s="29"/>
    </row>
    <row r="61" spans="1:53" x14ac:dyDescent="0.2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AB61" si="28">+F60+F52</f>
        <v>#VALUE!</v>
      </c>
      <c r="G61" s="144" t="e">
        <f t="shared" si="28"/>
        <v>#VALUE!</v>
      </c>
      <c r="H61" s="144" t="e">
        <f t="shared" si="28"/>
        <v>#VALUE!</v>
      </c>
      <c r="I61" s="144" t="e">
        <f t="shared" si="28"/>
        <v>#VALUE!</v>
      </c>
      <c r="J61" s="144" t="e">
        <f t="shared" si="28"/>
        <v>#VALUE!</v>
      </c>
      <c r="K61" s="144" t="e">
        <f t="shared" si="28"/>
        <v>#VALUE!</v>
      </c>
      <c r="L61" s="144" t="e">
        <f t="shared" si="28"/>
        <v>#VALUE!</v>
      </c>
      <c r="M61" s="144" t="e">
        <f t="shared" si="28"/>
        <v>#VALUE!</v>
      </c>
      <c r="N61" s="144" t="e">
        <f t="shared" si="28"/>
        <v>#VALUE!</v>
      </c>
      <c r="O61" s="144" t="e">
        <f t="shared" si="28"/>
        <v>#VALUE!</v>
      </c>
      <c r="P61" s="144" t="e">
        <f t="shared" si="28"/>
        <v>#VALUE!</v>
      </c>
      <c r="Q61" s="144" t="e">
        <f t="shared" si="28"/>
        <v>#VALUE!</v>
      </c>
      <c r="R61" s="144" t="e">
        <f t="shared" si="28"/>
        <v>#VALUE!</v>
      </c>
      <c r="S61" s="144" t="e">
        <f t="shared" si="28"/>
        <v>#VALUE!</v>
      </c>
      <c r="T61" s="144" t="e">
        <f t="shared" si="28"/>
        <v>#VALUE!</v>
      </c>
      <c r="U61" s="144" t="e">
        <f t="shared" si="28"/>
        <v>#VALUE!</v>
      </c>
      <c r="V61" s="144" t="e">
        <f t="shared" si="28"/>
        <v>#VALUE!</v>
      </c>
      <c r="W61" s="144" t="e">
        <f t="shared" si="28"/>
        <v>#VALUE!</v>
      </c>
      <c r="X61" s="144" t="e">
        <f t="shared" si="28"/>
        <v>#VALUE!</v>
      </c>
      <c r="Y61" s="144" t="e">
        <f t="shared" si="28"/>
        <v>#VALUE!</v>
      </c>
      <c r="Z61" s="144" t="e">
        <f t="shared" si="28"/>
        <v>#VALUE!</v>
      </c>
      <c r="AA61" s="144" t="e">
        <f t="shared" si="28"/>
        <v>#VALUE!</v>
      </c>
      <c r="AB61" s="144" t="e">
        <f t="shared" si="28"/>
        <v>#VALUE!</v>
      </c>
      <c r="AC61" s="144">
        <f t="shared" si="27"/>
        <v>0</v>
      </c>
      <c r="AD61" s="145"/>
    </row>
    <row r="62" spans="1:53" x14ac:dyDescent="0.2">
      <c r="A62" s="205" t="s">
        <v>108</v>
      </c>
      <c r="B62" s="70"/>
      <c r="C62" s="28"/>
      <c r="D62" s="28"/>
      <c r="E62" s="36">
        <f t="shared" ref="E62:AC63" si="29">E45</f>
        <v>0</v>
      </c>
      <c r="F62" s="36">
        <f t="shared" si="29"/>
        <v>0</v>
      </c>
      <c r="G62" s="36">
        <f t="shared" si="29"/>
        <v>0</v>
      </c>
      <c r="H62" s="36">
        <f t="shared" si="29"/>
        <v>0</v>
      </c>
      <c r="I62" s="36">
        <f t="shared" si="29"/>
        <v>0</v>
      </c>
      <c r="J62" s="36">
        <f t="shared" si="29"/>
        <v>0</v>
      </c>
      <c r="K62" s="36">
        <f t="shared" si="29"/>
        <v>0</v>
      </c>
      <c r="L62" s="36">
        <f t="shared" si="29"/>
        <v>0</v>
      </c>
      <c r="M62" s="36">
        <f t="shared" si="29"/>
        <v>0</v>
      </c>
      <c r="N62" s="36">
        <f t="shared" si="29"/>
        <v>0</v>
      </c>
      <c r="O62" s="36">
        <f t="shared" si="29"/>
        <v>0</v>
      </c>
      <c r="P62" s="36">
        <f t="shared" si="29"/>
        <v>0</v>
      </c>
      <c r="Q62" s="36">
        <f t="shared" si="29"/>
        <v>0</v>
      </c>
      <c r="R62" s="36">
        <f t="shared" si="29"/>
        <v>0</v>
      </c>
      <c r="S62" s="36">
        <f t="shared" si="29"/>
        <v>0</v>
      </c>
      <c r="T62" s="36">
        <f t="shared" si="29"/>
        <v>0</v>
      </c>
      <c r="U62" s="36">
        <f t="shared" si="29"/>
        <v>0</v>
      </c>
      <c r="V62" s="36">
        <f t="shared" si="29"/>
        <v>0</v>
      </c>
      <c r="W62" s="36">
        <f t="shared" si="29"/>
        <v>0</v>
      </c>
      <c r="X62" s="36">
        <f t="shared" si="29"/>
        <v>0</v>
      </c>
      <c r="Y62" s="36">
        <f t="shared" si="29"/>
        <v>0</v>
      </c>
      <c r="Z62" s="36">
        <f t="shared" si="29"/>
        <v>0</v>
      </c>
      <c r="AA62" s="36">
        <f t="shared" si="29"/>
        <v>0</v>
      </c>
      <c r="AB62" s="36">
        <f t="shared" si="29"/>
        <v>0</v>
      </c>
      <c r="AC62" s="36">
        <f t="shared" si="29"/>
        <v>0</v>
      </c>
      <c r="AD62" s="29"/>
    </row>
    <row r="63" spans="1:53" ht="13.5" thickBot="1" x14ac:dyDescent="0.25">
      <c r="A63" s="207" t="s">
        <v>109</v>
      </c>
      <c r="B63" s="74"/>
      <c r="C63" s="33"/>
      <c r="D63" s="33"/>
      <c r="E63" s="37">
        <f>E46</f>
        <v>0</v>
      </c>
      <c r="F63" s="37">
        <f t="shared" si="29"/>
        <v>0</v>
      </c>
      <c r="G63" s="37">
        <f t="shared" si="29"/>
        <v>0</v>
      </c>
      <c r="H63" s="37">
        <f t="shared" si="29"/>
        <v>0</v>
      </c>
      <c r="I63" s="37">
        <f t="shared" si="29"/>
        <v>0</v>
      </c>
      <c r="J63" s="37">
        <f t="shared" si="29"/>
        <v>0</v>
      </c>
      <c r="K63" s="37">
        <f t="shared" si="29"/>
        <v>0</v>
      </c>
      <c r="L63" s="37">
        <f t="shared" si="29"/>
        <v>0</v>
      </c>
      <c r="M63" s="37">
        <f t="shared" si="29"/>
        <v>0</v>
      </c>
      <c r="N63" s="37">
        <f t="shared" si="29"/>
        <v>0</v>
      </c>
      <c r="O63" s="37">
        <f t="shared" si="29"/>
        <v>0</v>
      </c>
      <c r="P63" s="37">
        <f t="shared" si="29"/>
        <v>0</v>
      </c>
      <c r="Q63" s="37">
        <f t="shared" si="29"/>
        <v>0</v>
      </c>
      <c r="R63" s="37">
        <f t="shared" si="29"/>
        <v>0</v>
      </c>
      <c r="S63" s="37">
        <f t="shared" si="29"/>
        <v>0</v>
      </c>
      <c r="T63" s="37">
        <f t="shared" si="29"/>
        <v>0</v>
      </c>
      <c r="U63" s="37">
        <f t="shared" si="29"/>
        <v>0</v>
      </c>
      <c r="V63" s="37">
        <f t="shared" si="29"/>
        <v>0</v>
      </c>
      <c r="W63" s="37">
        <f t="shared" si="29"/>
        <v>0</v>
      </c>
      <c r="X63" s="37">
        <f t="shared" si="29"/>
        <v>0</v>
      </c>
      <c r="Y63" s="37">
        <f t="shared" si="29"/>
        <v>0</v>
      </c>
      <c r="Z63" s="37">
        <f t="shared" si="29"/>
        <v>0</v>
      </c>
      <c r="AA63" s="37">
        <f t="shared" si="29"/>
        <v>0</v>
      </c>
      <c r="AB63" s="37">
        <f t="shared" si="29"/>
        <v>0</v>
      </c>
      <c r="AC63" s="37">
        <f t="shared" si="29"/>
        <v>0</v>
      </c>
      <c r="AD63" s="34"/>
    </row>
    <row r="64" spans="1:53" x14ac:dyDescent="0.2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9"/>
    </row>
    <row r="65" spans="1:30" x14ac:dyDescent="0.2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9"/>
    </row>
    <row r="66" spans="1:30" x14ac:dyDescent="0.2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9"/>
    </row>
    <row r="67" spans="1:30" x14ac:dyDescent="0.2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9"/>
    </row>
    <row r="68" spans="1:30" x14ac:dyDescent="0.2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9"/>
    </row>
    <row r="69" spans="1:30" x14ac:dyDescent="0.2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9"/>
    </row>
    <row r="70" spans="1:30" x14ac:dyDescent="0.2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9"/>
    </row>
    <row r="71" spans="1:30" x14ac:dyDescent="0.2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9"/>
    </row>
    <row r="72" spans="1:30" x14ac:dyDescent="0.2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9"/>
    </row>
    <row r="73" spans="1:30" x14ac:dyDescent="0.2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9"/>
    </row>
    <row r="74" spans="1:30" x14ac:dyDescent="0.2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9"/>
    </row>
    <row r="75" spans="1:30" x14ac:dyDescent="0.2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9"/>
    </row>
    <row r="76" spans="1:30" x14ac:dyDescent="0.2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9"/>
    </row>
    <row r="77" spans="1:30" x14ac:dyDescent="0.2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9"/>
    </row>
    <row r="78" spans="1:30" x14ac:dyDescent="0.2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9"/>
    </row>
    <row r="79" spans="1:30" x14ac:dyDescent="0.2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9"/>
    </row>
    <row r="80" spans="1:30" x14ac:dyDescent="0.2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9"/>
    </row>
    <row r="81" spans="1:30" x14ac:dyDescent="0.2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9"/>
    </row>
    <row r="82" spans="1:30" x14ac:dyDescent="0.2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9"/>
    </row>
    <row r="83" spans="1:30" x14ac:dyDescent="0.2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9"/>
    </row>
    <row r="84" spans="1:30" x14ac:dyDescent="0.2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9"/>
    </row>
    <row r="85" spans="1:30" x14ac:dyDescent="0.2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9"/>
    </row>
    <row r="86" spans="1:30" x14ac:dyDescent="0.2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9"/>
    </row>
    <row r="87" spans="1:30" x14ac:dyDescent="0.2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9"/>
    </row>
    <row r="88" spans="1:30" x14ac:dyDescent="0.2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9"/>
    </row>
    <row r="89" spans="1:30" x14ac:dyDescent="0.2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9"/>
    </row>
    <row r="90" spans="1:30" x14ac:dyDescent="0.2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9"/>
    </row>
    <row r="91" spans="1:30" x14ac:dyDescent="0.2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9"/>
    </row>
    <row r="92" spans="1:30" x14ac:dyDescent="0.2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9"/>
    </row>
    <row r="93" spans="1:30" x14ac:dyDescent="0.2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9"/>
    </row>
    <row r="94" spans="1:30" x14ac:dyDescent="0.2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9"/>
    </row>
    <row r="95" spans="1:30" x14ac:dyDescent="0.2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9"/>
    </row>
    <row r="96" spans="1:30" x14ac:dyDescent="0.2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9"/>
    </row>
    <row r="97" spans="1:30" x14ac:dyDescent="0.2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9"/>
    </row>
    <row r="98" spans="1:30" x14ac:dyDescent="0.2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9"/>
    </row>
    <row r="99" spans="1:30" x14ac:dyDescent="0.2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9"/>
    </row>
    <row r="100" spans="1:30" x14ac:dyDescent="0.2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9"/>
    </row>
    <row r="101" spans="1:30" x14ac:dyDescent="0.2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9"/>
    </row>
    <row r="102" spans="1:30" x14ac:dyDescent="0.2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9"/>
    </row>
    <row r="103" spans="1:30" x14ac:dyDescent="0.2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9"/>
    </row>
    <row r="104" spans="1:30" x14ac:dyDescent="0.2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9"/>
    </row>
    <row r="105" spans="1:30" x14ac:dyDescent="0.2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9"/>
    </row>
    <row r="106" spans="1:30" x14ac:dyDescent="0.2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9"/>
    </row>
    <row r="107" spans="1:30" ht="13.5" thickBot="1" x14ac:dyDescent="0.25">
      <c r="A107" s="16"/>
      <c r="B107" s="7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3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09"/>
  <sheetViews>
    <sheetView showGridLines="0" showZeros="0" tabSelected="1" topLeftCell="A63" workbookViewId="0">
      <selection activeCell="M108" sqref="M108"/>
    </sheetView>
  </sheetViews>
  <sheetFormatPr defaultRowHeight="12.75" x14ac:dyDescent="0.2"/>
  <cols>
    <col min="1" max="1" width="3.42578125" style="2" customWidth="1"/>
    <col min="2" max="2" width="10.28515625" style="76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167"/>
      <c r="X1" s="5"/>
    </row>
    <row r="2" spans="1:53" ht="30" x14ac:dyDescent="0.4">
      <c r="A2" s="208" t="s">
        <v>97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168" t="s">
        <v>10</v>
      </c>
      <c r="T2" s="169"/>
      <c r="U2" s="169"/>
      <c r="V2" s="170"/>
      <c r="W2" s="169"/>
      <c r="X2" s="6"/>
    </row>
    <row r="3" spans="1:53" ht="14.25" x14ac:dyDescent="0.2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171"/>
      <c r="X3" s="9"/>
    </row>
    <row r="4" spans="1:53" ht="21" thickBot="1" x14ac:dyDescent="0.35">
      <c r="A4" s="210" t="s">
        <v>98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173" t="s">
        <v>11</v>
      </c>
      <c r="T4" s="176"/>
      <c r="U4" s="174"/>
      <c r="V4" s="175"/>
      <c r="W4" s="176"/>
      <c r="X4" s="20"/>
    </row>
    <row r="5" spans="1:53" ht="8.25" customHeight="1" x14ac:dyDescent="0.2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9"/>
      <c r="Y6" s="2" t="s">
        <v>12</v>
      </c>
    </row>
    <row r="7" spans="1:53" x14ac:dyDescent="0.2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9"/>
    </row>
    <row r="8" spans="1:53" ht="18.75" customHeight="1" x14ac:dyDescent="0.2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9" t="s">
        <v>45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6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12">
        <f t="shared" si="0"/>
        <v>0</v>
      </c>
      <c r="X11" s="29"/>
      <c r="Y11"/>
      <c r="Z11"/>
      <c r="AA11"/>
      <c r="AB11"/>
      <c r="AC11"/>
      <c r="AD11"/>
      <c r="AE11"/>
      <c r="AF11"/>
      <c r="AG11"/>
    </row>
    <row r="12" spans="1:53" x14ac:dyDescent="0.2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12">
        <f t="shared" si="0"/>
        <v>0</v>
      </c>
      <c r="X12" s="29"/>
      <c r="Y12"/>
      <c r="Z12"/>
      <c r="AA12"/>
      <c r="AB12"/>
      <c r="AC12"/>
      <c r="AD12"/>
      <c r="AE12"/>
      <c r="AF12"/>
      <c r="AG12"/>
    </row>
    <row r="13" spans="1:53" x14ac:dyDescent="0.2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12">
        <f t="shared" si="0"/>
        <v>0</v>
      </c>
      <c r="X13" s="12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18">
        <f t="shared" si="0"/>
        <v>0</v>
      </c>
      <c r="X14" s="122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18">
        <f t="shared" si="0"/>
        <v>0</v>
      </c>
      <c r="X15" s="122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26">
        <f t="shared" si="0"/>
        <v>0</v>
      </c>
      <c r="X16" s="11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49</v>
      </c>
      <c r="B17" s="71"/>
      <c r="C17" s="14"/>
      <c r="D17" s="14"/>
      <c r="E17" s="67">
        <f t="shared" ref="E17:V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26">
        <f t="shared" si="0"/>
        <v>0</v>
      </c>
      <c r="X17" s="11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89" customFormat="1" x14ac:dyDescent="0.2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V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26">
        <f t="shared" si="0"/>
        <v>0</v>
      </c>
      <c r="X18" s="111"/>
      <c r="Y18" s="87"/>
      <c r="Z18" s="87"/>
      <c r="AA18" s="87"/>
      <c r="AB18" s="87"/>
      <c r="AC18" s="87"/>
      <c r="AD18" s="87"/>
      <c r="AE18" s="87"/>
      <c r="AF18" s="87"/>
      <c r="AG18" s="87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</row>
    <row r="19" spans="1:53" s="1" customFormat="1" x14ac:dyDescent="0.2">
      <c r="A19" s="13" t="s">
        <v>50</v>
      </c>
      <c r="B19" s="71"/>
      <c r="C19" s="14"/>
      <c r="D19" s="14"/>
      <c r="E19" s="67">
        <f>E17+E18</f>
        <v>0</v>
      </c>
      <c r="F19" s="67">
        <f t="shared" ref="F19:V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0"/>
        <v>0</v>
      </c>
      <c r="X19" s="11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78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W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9" t="str">
        <f t="shared" si="4"/>
        <v>Total</v>
      </c>
      <c r="X22" s="200"/>
    </row>
    <row r="23" spans="1:53" x14ac:dyDescent="0.2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01">
        <f t="shared" ref="W23:W27" si="5">SUM(E23:V23)</f>
        <v>0</v>
      </c>
      <c r="X23" s="201" t="s">
        <v>101</v>
      </c>
    </row>
    <row r="24" spans="1:53" x14ac:dyDescent="0.2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01" t="s">
        <v>103</v>
      </c>
      <c r="X24" s="201"/>
    </row>
    <row r="25" spans="1:53" x14ac:dyDescent="0.2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01">
        <f t="shared" si="5"/>
        <v>0</v>
      </c>
      <c r="X25" s="201"/>
    </row>
    <row r="26" spans="1:53" x14ac:dyDescent="0.2">
      <c r="A26" s="160"/>
      <c r="B26" s="163"/>
      <c r="C26" s="165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01">
        <f t="shared" si="5"/>
        <v>0</v>
      </c>
      <c r="X26" s="201"/>
    </row>
    <row r="27" spans="1:53" x14ac:dyDescent="0.2">
      <c r="A27" s="161"/>
      <c r="B27" s="191"/>
      <c r="C27" s="192"/>
      <c r="D27" s="192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202">
        <f t="shared" si="5"/>
        <v>0</v>
      </c>
      <c r="X27" s="203"/>
    </row>
    <row r="28" spans="1:53" s="1" customFormat="1" x14ac:dyDescent="0.2">
      <c r="A28" s="13" t="s">
        <v>43</v>
      </c>
      <c r="B28" s="71"/>
      <c r="C28" s="14"/>
      <c r="D28" s="14"/>
      <c r="E28" s="35">
        <f t="shared" ref="E28:W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2" customFormat="1" x14ac:dyDescent="0.2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66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W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9" t="str">
        <f t="shared" si="7"/>
        <v>Total</v>
      </c>
      <c r="X31" s="113"/>
    </row>
    <row r="32" spans="1:53" x14ac:dyDescent="0.2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01">
        <f t="shared" ref="W32:W36" si="8">SUM(E32:V32)</f>
        <v>0</v>
      </c>
      <c r="X32" s="181" t="s">
        <v>101</v>
      </c>
    </row>
    <row r="33" spans="1:53" x14ac:dyDescent="0.2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01" t="s">
        <v>103</v>
      </c>
      <c r="X33" s="182"/>
    </row>
    <row r="34" spans="1:53" x14ac:dyDescent="0.2">
      <c r="A34" s="160"/>
      <c r="B34" s="163"/>
      <c r="C34" s="165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01">
        <f t="shared" si="8"/>
        <v>0</v>
      </c>
      <c r="X34" s="182"/>
    </row>
    <row r="35" spans="1:53" x14ac:dyDescent="0.2">
      <c r="A35" s="160"/>
      <c r="B35" s="163"/>
      <c r="C35" s="165"/>
      <c r="D35" s="165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01">
        <f t="shared" si="8"/>
        <v>0</v>
      </c>
      <c r="X35" s="182"/>
    </row>
    <row r="36" spans="1:53" x14ac:dyDescent="0.2">
      <c r="A36" s="161"/>
      <c r="B36" s="191"/>
      <c r="C36" s="192"/>
      <c r="D36" s="192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4">
        <f t="shared" si="8"/>
        <v>0</v>
      </c>
      <c r="X36" s="182"/>
    </row>
    <row r="37" spans="1:53" s="1" customFormat="1" x14ac:dyDescent="0.2">
      <c r="A37" s="91" t="s">
        <v>53</v>
      </c>
      <c r="B37" s="92"/>
      <c r="C37" s="93"/>
      <c r="D37" s="93"/>
      <c r="E37" s="94">
        <f t="shared" ref="E37:W37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183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">
      <c r="A38" s="96" t="s">
        <v>56</v>
      </c>
      <c r="B38" s="97"/>
      <c r="C38" s="98"/>
      <c r="D38" s="99"/>
      <c r="E38" s="100">
        <f t="shared" ref="E38:W38" si="10">SUMIF($X32:$X36,1,E32:E36)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10"/>
        <v>0</v>
      </c>
      <c r="V38" s="100">
        <f t="shared" si="10"/>
        <v>0</v>
      </c>
      <c r="W38" s="101">
        <f t="shared" si="10"/>
        <v>0</v>
      </c>
      <c r="X38" s="184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">
      <c r="A39" s="103" t="s">
        <v>58</v>
      </c>
      <c r="B39" s="104"/>
      <c r="C39" s="105"/>
      <c r="D39" s="106"/>
      <c r="E39" s="107">
        <f>E37-E38</f>
        <v>0</v>
      </c>
      <c r="F39" s="107">
        <f t="shared" ref="F39:W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8">
        <f t="shared" si="11"/>
        <v>0</v>
      </c>
      <c r="X39" s="185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5" thickBot="1" x14ac:dyDescent="0.25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">
      <c r="A41" s="30" t="s">
        <v>12</v>
      </c>
      <c r="B41" s="73"/>
      <c r="C41" s="63"/>
      <c r="D41" s="63"/>
      <c r="E41" s="64">
        <f t="shared" ref="E41:W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 t="str">
        <f t="shared" si="12"/>
        <v>Total</v>
      </c>
      <c r="X41" s="5"/>
    </row>
    <row r="42" spans="1:53" x14ac:dyDescent="0.2">
      <c r="A42" s="205" t="s">
        <v>105</v>
      </c>
      <c r="B42" s="70"/>
      <c r="C42" s="28"/>
      <c r="D42" s="28"/>
      <c r="E42" s="36">
        <f t="shared" ref="E42:V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>SUM(E42:V42)</f>
        <v>0</v>
      </c>
      <c r="X42" s="29"/>
    </row>
    <row r="43" spans="1:53" x14ac:dyDescent="0.2">
      <c r="A43" s="205" t="s">
        <v>106</v>
      </c>
      <c r="B43" s="70"/>
      <c r="C43" s="28"/>
      <c r="D43" s="28"/>
      <c r="E43" s="36">
        <f t="shared" ref="E43:V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>SUM(E43:V43)</f>
        <v>0</v>
      </c>
      <c r="X43" s="110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">
      <c r="A44" s="205" t="s">
        <v>107</v>
      </c>
      <c r="B44" s="70"/>
      <c r="C44" s="28"/>
      <c r="D44" s="28"/>
      <c r="E44" s="36">
        <f t="shared" ref="E44:W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29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">
      <c r="A45" s="205" t="s">
        <v>108</v>
      </c>
      <c r="B45" s="70"/>
      <c r="C45" s="28"/>
      <c r="D45" s="28"/>
      <c r="E45" s="36">
        <f t="shared" ref="E45:V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>SUM(E45:V45)</f>
        <v>0</v>
      </c>
      <c r="X45" s="29"/>
    </row>
    <row r="46" spans="1:53" x14ac:dyDescent="0.2">
      <c r="A46" s="205" t="s">
        <v>109</v>
      </c>
      <c r="B46" s="70"/>
      <c r="C46" s="28"/>
      <c r="D46" s="28"/>
      <c r="E46" s="36">
        <f t="shared" ref="E46:V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>SUM(E46:V46)</f>
        <v>0</v>
      </c>
      <c r="X46" s="29"/>
    </row>
    <row r="47" spans="1:53" x14ac:dyDescent="0.2">
      <c r="A47" s="13" t="s">
        <v>110</v>
      </c>
      <c r="B47" s="70"/>
      <c r="C47" s="28"/>
      <c r="D47" s="28"/>
      <c r="E47" s="36">
        <f t="shared" ref="E47:V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>SUM(E47:V47)</f>
        <v>0</v>
      </c>
      <c r="X47" s="29"/>
    </row>
    <row r="48" spans="1:53" x14ac:dyDescent="0.2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V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>SUM(E48:V48)</f>
        <v>0</v>
      </c>
      <c r="X48" s="29"/>
    </row>
    <row r="49" spans="1:47" ht="13.5" thickBot="1" x14ac:dyDescent="0.25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V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>SUM(E49:V49)</f>
        <v>0</v>
      </c>
      <c r="X49" s="34"/>
    </row>
    <row r="50" spans="1:47" s="42" customFormat="1" x14ac:dyDescent="0.2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2" customFormat="1" ht="13.5" thickBot="1" x14ac:dyDescent="0.25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2" customFormat="1" x14ac:dyDescent="0.2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39">
        <f>SUM(E52:V52)</f>
        <v>0</v>
      </c>
      <c r="X52" s="136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2" customFormat="1" x14ac:dyDescent="0.2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V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40" t="e">
        <f>SUM(E53:V53)</f>
        <v>#VALUE!</v>
      </c>
      <c r="X53" s="137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2" customFormat="1" ht="13.5" thickBot="1" x14ac:dyDescent="0.25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V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41" t="e">
        <f>SUM(E54:V54)</f>
        <v>#VALUE!</v>
      </c>
      <c r="X54" s="13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2" customFormat="1" x14ac:dyDescent="0.2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5" thickBot="1" x14ac:dyDescent="0.25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">
      <c r="A57" s="30" t="s">
        <v>12</v>
      </c>
      <c r="B57" s="73"/>
      <c r="C57" s="63"/>
      <c r="D57" s="63"/>
      <c r="E57" s="64">
        <f t="shared" ref="E57:W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si="23"/>
        <v>0</v>
      </c>
      <c r="R57" s="64">
        <f t="shared" si="23"/>
        <v>0</v>
      </c>
      <c r="S57" s="64">
        <f t="shared" si="23"/>
        <v>0</v>
      </c>
      <c r="T57" s="64">
        <f t="shared" si="23"/>
        <v>0</v>
      </c>
      <c r="U57" s="64">
        <f t="shared" si="23"/>
        <v>0</v>
      </c>
      <c r="V57" s="64">
        <f t="shared" si="23"/>
        <v>0</v>
      </c>
      <c r="W57" s="64" t="str">
        <f t="shared" si="23"/>
        <v>Total</v>
      </c>
      <c r="X57" s="65"/>
    </row>
    <row r="58" spans="1:47" x14ac:dyDescent="0.2">
      <c r="A58" s="205" t="s">
        <v>105</v>
      </c>
      <c r="B58" s="70"/>
      <c r="C58" s="28"/>
      <c r="D58" s="28"/>
      <c r="E58" s="36">
        <f t="shared" ref="E58:W58" si="24">E17</f>
        <v>0</v>
      </c>
      <c r="F58" s="36">
        <f t="shared" si="24"/>
        <v>0</v>
      </c>
      <c r="G58" s="36">
        <f t="shared" si="24"/>
        <v>0</v>
      </c>
      <c r="H58" s="36">
        <f t="shared" si="24"/>
        <v>0</v>
      </c>
      <c r="I58" s="36">
        <f t="shared" si="24"/>
        <v>0</v>
      </c>
      <c r="J58" s="36">
        <f t="shared" si="24"/>
        <v>0</v>
      </c>
      <c r="K58" s="36">
        <f t="shared" si="24"/>
        <v>0</v>
      </c>
      <c r="L58" s="36">
        <f t="shared" si="24"/>
        <v>0</v>
      </c>
      <c r="M58" s="36">
        <f t="shared" si="24"/>
        <v>0</v>
      </c>
      <c r="N58" s="36">
        <f t="shared" si="24"/>
        <v>0</v>
      </c>
      <c r="O58" s="36">
        <f t="shared" si="24"/>
        <v>0</v>
      </c>
      <c r="P58" s="36">
        <f t="shared" si="24"/>
        <v>0</v>
      </c>
      <c r="Q58" s="36">
        <f t="shared" si="24"/>
        <v>0</v>
      </c>
      <c r="R58" s="36">
        <f t="shared" si="24"/>
        <v>0</v>
      </c>
      <c r="S58" s="36">
        <f t="shared" si="24"/>
        <v>0</v>
      </c>
      <c r="T58" s="36">
        <f t="shared" si="24"/>
        <v>0</v>
      </c>
      <c r="U58" s="36">
        <f t="shared" si="24"/>
        <v>0</v>
      </c>
      <c r="V58" s="36">
        <f t="shared" si="24"/>
        <v>0</v>
      </c>
      <c r="W58" s="36">
        <f t="shared" si="24"/>
        <v>0</v>
      </c>
      <c r="X58" s="29"/>
    </row>
    <row r="59" spans="1:47" x14ac:dyDescent="0.2">
      <c r="A59" s="205" t="s">
        <v>106</v>
      </c>
      <c r="B59" s="70"/>
      <c r="C59" s="28"/>
      <c r="D59" s="28"/>
      <c r="E59" s="36">
        <f t="shared" ref="E59:T60" si="25">E43</f>
        <v>0</v>
      </c>
      <c r="F59" s="36">
        <f t="shared" si="25"/>
        <v>0</v>
      </c>
      <c r="G59" s="36">
        <f t="shared" si="25"/>
        <v>0</v>
      </c>
      <c r="H59" s="36">
        <f t="shared" si="25"/>
        <v>0</v>
      </c>
      <c r="I59" s="36">
        <f t="shared" si="25"/>
        <v>0</v>
      </c>
      <c r="J59" s="36">
        <f t="shared" si="25"/>
        <v>0</v>
      </c>
      <c r="K59" s="36">
        <f t="shared" si="25"/>
        <v>0</v>
      </c>
      <c r="L59" s="36">
        <f t="shared" si="25"/>
        <v>0</v>
      </c>
      <c r="M59" s="36">
        <f t="shared" si="25"/>
        <v>0</v>
      </c>
      <c r="N59" s="36">
        <f t="shared" si="25"/>
        <v>0</v>
      </c>
      <c r="O59" s="36">
        <f t="shared" si="25"/>
        <v>0</v>
      </c>
      <c r="P59" s="36">
        <f t="shared" si="25"/>
        <v>0</v>
      </c>
      <c r="Q59" s="36">
        <f t="shared" si="25"/>
        <v>0</v>
      </c>
      <c r="R59" s="36">
        <f t="shared" si="25"/>
        <v>0</v>
      </c>
      <c r="S59" s="36">
        <f t="shared" si="25"/>
        <v>0</v>
      </c>
      <c r="T59" s="36">
        <f t="shared" si="25"/>
        <v>0</v>
      </c>
      <c r="U59" s="36">
        <f>U43</f>
        <v>0</v>
      </c>
      <c r="V59" s="36">
        <f>V43</f>
        <v>0</v>
      </c>
      <c r="W59" s="36">
        <f>W43</f>
        <v>0</v>
      </c>
      <c r="X59" s="29"/>
    </row>
    <row r="60" spans="1:47" x14ac:dyDescent="0.2">
      <c r="A60" s="205" t="s">
        <v>112</v>
      </c>
      <c r="B60" s="70"/>
      <c r="C60" s="28"/>
      <c r="D60" s="28"/>
      <c r="E60" s="36">
        <f>E44</f>
        <v>0</v>
      </c>
      <c r="F60" s="36">
        <f t="shared" si="25"/>
        <v>0</v>
      </c>
      <c r="G60" s="36">
        <f t="shared" si="25"/>
        <v>0</v>
      </c>
      <c r="H60" s="36">
        <f t="shared" si="25"/>
        <v>0</v>
      </c>
      <c r="I60" s="36">
        <f t="shared" si="25"/>
        <v>0</v>
      </c>
      <c r="J60" s="36">
        <f t="shared" si="25"/>
        <v>0</v>
      </c>
      <c r="K60" s="36">
        <f t="shared" si="25"/>
        <v>0</v>
      </c>
      <c r="L60" s="36">
        <f t="shared" si="25"/>
        <v>0</v>
      </c>
      <c r="M60" s="36">
        <f t="shared" si="25"/>
        <v>0</v>
      </c>
      <c r="N60" s="36">
        <f t="shared" si="25"/>
        <v>0</v>
      </c>
      <c r="O60" s="36">
        <f t="shared" si="25"/>
        <v>0</v>
      </c>
      <c r="P60" s="36">
        <f t="shared" si="25"/>
        <v>0</v>
      </c>
      <c r="Q60" s="36">
        <f t="shared" si="25"/>
        <v>0</v>
      </c>
      <c r="R60" s="36">
        <f t="shared" si="25"/>
        <v>0</v>
      </c>
      <c r="S60" s="36">
        <f t="shared" si="25"/>
        <v>0</v>
      </c>
      <c r="T60" s="36">
        <f t="shared" si="25"/>
        <v>0</v>
      </c>
      <c r="U60" s="36">
        <f t="shared" ref="U60:W61" si="26">U44</f>
        <v>0</v>
      </c>
      <c r="V60" s="36">
        <f t="shared" si="26"/>
        <v>0</v>
      </c>
      <c r="W60" s="36">
        <f t="shared" si="26"/>
        <v>0</v>
      </c>
      <c r="X60" s="29"/>
    </row>
    <row r="61" spans="1:47" x14ac:dyDescent="0.2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V61" si="27">+F60+F52</f>
        <v>#VALUE!</v>
      </c>
      <c r="G61" s="144" t="e">
        <f t="shared" si="27"/>
        <v>#VALUE!</v>
      </c>
      <c r="H61" s="144" t="e">
        <f t="shared" si="27"/>
        <v>#VALUE!</v>
      </c>
      <c r="I61" s="144" t="e">
        <f t="shared" si="27"/>
        <v>#VALUE!</v>
      </c>
      <c r="J61" s="144" t="e">
        <f t="shared" si="27"/>
        <v>#VALUE!</v>
      </c>
      <c r="K61" s="144" t="e">
        <f t="shared" si="27"/>
        <v>#VALUE!</v>
      </c>
      <c r="L61" s="144" t="e">
        <f t="shared" si="27"/>
        <v>#VALUE!</v>
      </c>
      <c r="M61" s="144" t="e">
        <f t="shared" si="27"/>
        <v>#VALUE!</v>
      </c>
      <c r="N61" s="144" t="e">
        <f t="shared" si="27"/>
        <v>#VALUE!</v>
      </c>
      <c r="O61" s="144" t="e">
        <f t="shared" si="27"/>
        <v>#VALUE!</v>
      </c>
      <c r="P61" s="144" t="e">
        <f t="shared" si="27"/>
        <v>#VALUE!</v>
      </c>
      <c r="Q61" s="144" t="e">
        <f t="shared" si="27"/>
        <v>#VALUE!</v>
      </c>
      <c r="R61" s="144" t="e">
        <f t="shared" si="27"/>
        <v>#VALUE!</v>
      </c>
      <c r="S61" s="144" t="e">
        <f t="shared" si="27"/>
        <v>#VALUE!</v>
      </c>
      <c r="T61" s="144" t="e">
        <f t="shared" si="27"/>
        <v>#VALUE!</v>
      </c>
      <c r="U61" s="144" t="e">
        <f t="shared" si="27"/>
        <v>#VALUE!</v>
      </c>
      <c r="V61" s="144" t="e">
        <f t="shared" si="27"/>
        <v>#VALUE!</v>
      </c>
      <c r="W61" s="144">
        <f t="shared" si="26"/>
        <v>0</v>
      </c>
      <c r="X61" s="145"/>
    </row>
    <row r="62" spans="1:47" x14ac:dyDescent="0.2">
      <c r="A62" s="205" t="s">
        <v>108</v>
      </c>
      <c r="B62" s="70"/>
      <c r="C62" s="28"/>
      <c r="D62" s="28"/>
      <c r="E62" s="36">
        <f t="shared" ref="E62:W63" si="28">E45</f>
        <v>0</v>
      </c>
      <c r="F62" s="36">
        <f t="shared" si="28"/>
        <v>0</v>
      </c>
      <c r="G62" s="36">
        <f t="shared" si="28"/>
        <v>0</v>
      </c>
      <c r="H62" s="36">
        <f t="shared" si="28"/>
        <v>0</v>
      </c>
      <c r="I62" s="36">
        <f t="shared" si="28"/>
        <v>0</v>
      </c>
      <c r="J62" s="36">
        <f t="shared" si="28"/>
        <v>0</v>
      </c>
      <c r="K62" s="36">
        <f t="shared" si="28"/>
        <v>0</v>
      </c>
      <c r="L62" s="36">
        <f t="shared" si="28"/>
        <v>0</v>
      </c>
      <c r="M62" s="36">
        <f t="shared" si="28"/>
        <v>0</v>
      </c>
      <c r="N62" s="36">
        <f t="shared" si="28"/>
        <v>0</v>
      </c>
      <c r="O62" s="36">
        <f t="shared" si="28"/>
        <v>0</v>
      </c>
      <c r="P62" s="36">
        <f t="shared" si="28"/>
        <v>0</v>
      </c>
      <c r="Q62" s="36">
        <f t="shared" si="28"/>
        <v>0</v>
      </c>
      <c r="R62" s="36">
        <f t="shared" si="28"/>
        <v>0</v>
      </c>
      <c r="S62" s="36">
        <f t="shared" si="28"/>
        <v>0</v>
      </c>
      <c r="T62" s="36">
        <f t="shared" si="28"/>
        <v>0</v>
      </c>
      <c r="U62" s="36">
        <f t="shared" si="28"/>
        <v>0</v>
      </c>
      <c r="V62" s="36">
        <f t="shared" si="28"/>
        <v>0</v>
      </c>
      <c r="W62" s="36">
        <f t="shared" si="28"/>
        <v>0</v>
      </c>
      <c r="X62" s="29"/>
    </row>
    <row r="63" spans="1:47" ht="13.5" thickBot="1" x14ac:dyDescent="0.25">
      <c r="A63" s="207" t="s">
        <v>109</v>
      </c>
      <c r="B63" s="74"/>
      <c r="C63" s="33"/>
      <c r="D63" s="33"/>
      <c r="E63" s="37">
        <f>E46</f>
        <v>0</v>
      </c>
      <c r="F63" s="37">
        <f t="shared" si="28"/>
        <v>0</v>
      </c>
      <c r="G63" s="37">
        <f t="shared" si="28"/>
        <v>0</v>
      </c>
      <c r="H63" s="37">
        <f t="shared" si="28"/>
        <v>0</v>
      </c>
      <c r="I63" s="37">
        <f t="shared" si="28"/>
        <v>0</v>
      </c>
      <c r="J63" s="37">
        <f t="shared" si="28"/>
        <v>0</v>
      </c>
      <c r="K63" s="37">
        <f t="shared" si="28"/>
        <v>0</v>
      </c>
      <c r="L63" s="37">
        <f t="shared" si="28"/>
        <v>0</v>
      </c>
      <c r="M63" s="37">
        <f t="shared" si="28"/>
        <v>0</v>
      </c>
      <c r="N63" s="37">
        <f t="shared" si="28"/>
        <v>0</v>
      </c>
      <c r="O63" s="37">
        <f t="shared" si="28"/>
        <v>0</v>
      </c>
      <c r="P63" s="37">
        <f t="shared" si="28"/>
        <v>0</v>
      </c>
      <c r="Q63" s="37">
        <f t="shared" si="28"/>
        <v>0</v>
      </c>
      <c r="R63" s="37">
        <f t="shared" si="28"/>
        <v>0</v>
      </c>
      <c r="S63" s="37">
        <f t="shared" si="28"/>
        <v>0</v>
      </c>
      <c r="T63" s="37">
        <f t="shared" si="28"/>
        <v>0</v>
      </c>
      <c r="U63" s="37">
        <f t="shared" si="28"/>
        <v>0</v>
      </c>
      <c r="V63" s="37">
        <f t="shared" si="28"/>
        <v>0</v>
      </c>
      <c r="W63" s="37">
        <f t="shared" si="28"/>
        <v>0</v>
      </c>
      <c r="X63" s="34"/>
    </row>
    <row r="64" spans="1:47" x14ac:dyDescent="0.2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x14ac:dyDescent="0.2">
      <c r="A107" s="7"/>
      <c r="B107" s="69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9"/>
    </row>
    <row r="108" spans="1:24" x14ac:dyDescent="0.2">
      <c r="A108" s="7"/>
      <c r="B108" s="69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9"/>
    </row>
    <row r="109" spans="1:24" ht="13.5" thickBot="1" x14ac:dyDescent="0.25">
      <c r="A109" s="16"/>
      <c r="B109" s="75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E0C9DC-7F4A-43DC-BA10-3B423A4930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A4C165-78EB-4F34-B254-76AB26800E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572F9AD-1C5B-49E9-B4E0-B3E2E1523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Help</vt:lpstr>
      <vt:lpstr>CHA1E</vt:lpstr>
      <vt:lpstr>CHA1E_24</vt:lpstr>
      <vt:lpstr>Sheet1</vt:lpstr>
      <vt:lpstr>Cha1e24Fur</vt:lpstr>
      <vt:lpstr>Cha1e24Proj</vt:lpstr>
      <vt:lpstr>Cha1e24Sub</vt:lpstr>
      <vt:lpstr>Cha1eFur</vt:lpstr>
      <vt:lpstr>Cha1eProj</vt:lpstr>
      <vt:lpstr>Cha1eSub</vt:lpstr>
      <vt:lpstr>CHA1E!Print_Area</vt:lpstr>
      <vt:lpstr>CHA1E_24!Print_Area</vt:lpstr>
      <vt:lpstr>Help!Print_Area</vt:lpstr>
      <vt:lpstr>Sheet1!Print_Area</vt:lpstr>
      <vt:lpstr>CHA1E!Print_Titles</vt:lpstr>
      <vt:lpstr>CHA1E_24!Print_Titles</vt:lpstr>
      <vt:lpstr>Help!Print_Titles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Bhavsar Upen (Mumbai - IT)</cp:lastModifiedBy>
  <cp:lastPrinted>2008-07-30T05:01:28Z</cp:lastPrinted>
  <dcterms:created xsi:type="dcterms:W3CDTF">1998-08-27T06:04:06Z</dcterms:created>
  <dcterms:modified xsi:type="dcterms:W3CDTF">2022-06-15T07:57:04Z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2022-04-13T04:10:36Z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7b26564d-07d0-4761-8c78-9df0e1c1c3a6</vt:lpwstr>
  </property>
  <property fmtid="{D5CDD505-2E9C-101B-9397-08002B2CF9AE}" pid="9" name="MSIP_Label_e18d9558-26a3-4f93-8788-04a494c05692_ContentBits">
    <vt:lpwstr>0</vt:lpwstr>
  </property>
</Properties>
</file>