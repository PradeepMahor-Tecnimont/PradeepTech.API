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TCMPLAppTemplatesRepository\RAP\Cmplx\proj\"/>
    </mc:Choice>
  </mc:AlternateContent>
  <xr:revisionPtr revIDLastSave="0" documentId="13_ncr:1_{97286671-69E5-4E3D-82AD-3904C6AD804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2" r:id="rId1"/>
    <sheet name="TM11" sheetId="4" r:id="rId2"/>
    <sheet name="TM01" sheetId="5" r:id="rId3"/>
    <sheet name="Help" sheetId="3" r:id="rId4"/>
  </sheets>
  <definedNames>
    <definedName name="mend" localSheetId="2">'TM11'!#REF!</definedName>
    <definedName name="mend">'TM11'!#REF!</definedName>
    <definedName name="_xlnm.Print_Titles" localSheetId="2">'TM01'!$12:$15</definedName>
    <definedName name="_xlnm.Print_Titles" localSheetId="1">'TM11'!$12:$13</definedName>
    <definedName name="tm01_data">'TM01'!$A$16:$Z$17</definedName>
    <definedName name="tm01_part2">'TM01'!$A$21:$I$22</definedName>
    <definedName name="tm01_part3">'TM01'!$A$26:$I$27</definedName>
    <definedName name="tm01_part4">'TM01'!$A$30:$I$31</definedName>
    <definedName name="tm11_data">'TM11'!$A$14:$M$15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8" i="5" l="1"/>
  <c r="K18" i="5" s="1"/>
  <c r="F18" i="5" s="1"/>
  <c r="G18" i="5" s="1"/>
  <c r="K16" i="5" l="1"/>
  <c r="G6" i="5"/>
  <c r="A6" i="5"/>
  <c r="Y4" i="5"/>
  <c r="Y3" i="5"/>
  <c r="Y2" i="5"/>
  <c r="L14" i="4"/>
  <c r="F16" i="5" l="1"/>
  <c r="G16" i="5" l="1"/>
</calcChain>
</file>

<file path=xl/sharedStrings.xml><?xml version="1.0" encoding="utf-8"?>
<sst xmlns="http://schemas.openxmlformats.org/spreadsheetml/2006/main" count="207" uniqueCount="125">
  <si>
    <t>TECNIMONT  PVT. LTD.</t>
  </si>
  <si>
    <t>Distribution of Timesheet Accounting and Projections</t>
  </si>
  <si>
    <t>Help Contents</t>
  </si>
  <si>
    <t>This spreadsheet consists of 2 modules.  They are:</t>
  </si>
  <si>
    <t>TM11.  Employee wise details of previous month man-hour booking.</t>
  </si>
  <si>
    <t>TM-01.  Department wise summary of manhours spent and committed man-hours</t>
  </si>
  <si>
    <t>Each Manager can generate report  through Personnel activity Report application.</t>
  </si>
  <si>
    <t xml:space="preserve"> </t>
  </si>
  <si>
    <t>TM11</t>
  </si>
  <si>
    <t>This report presents the actual booking of the employees in the previous month.  It details</t>
  </si>
  <si>
    <t>the work position, particol, department, employee no, name and the man-hours booked by the</t>
  </si>
  <si>
    <t>respective employee .  And at the end it lists the total man-hours booked for the project</t>
  </si>
  <si>
    <t>during the month.</t>
  </si>
  <si>
    <t>TM01</t>
  </si>
  <si>
    <t>This report presents the consolidated information for the Project against various costcenters</t>
  </si>
  <si>
    <t>Against each department, it displays the original budgeted hours and revised budgets.  The</t>
  </si>
  <si>
    <t>current estimate is arrived as the cumulative booking against the department so far and the</t>
  </si>
  <si>
    <t>projected man-hours requested by the project.  Delta is the difference between the</t>
  </si>
  <si>
    <t>revised budgeted man-hours and current estimate.  Accounted for the month means the</t>
  </si>
  <si>
    <t>booking done for the previous month, Year means the booking done from March to the</t>
  </si>
  <si>
    <t>previous month and Total means the cumulative booking done till date.  Balance to complete</t>
  </si>
  <si>
    <t>is arrived from the projections provided by the department.  This is the sum of manhours</t>
  </si>
  <si>
    <t>reflected against individual months. Total next 12 months is the details of the 12 month</t>
  </si>
  <si>
    <t>period displayed and after 12 months indicate the man-hours required to complete the project</t>
  </si>
  <si>
    <t>beyond the 12 month projections.</t>
  </si>
  <si>
    <t>The department list is arrived as per the following criterion:</t>
  </si>
  <si>
    <t>1.  Should there be a budget to complete the project for the department</t>
  </si>
  <si>
    <t>2.  There is a booking made in the current financial year to a project for the department.</t>
  </si>
  <si>
    <t>Report Title       :</t>
  </si>
  <si>
    <t>TM 11</t>
  </si>
  <si>
    <t>Tecnimont  Pvt. Ltd.</t>
  </si>
  <si>
    <t>Processing Date :</t>
  </si>
  <si>
    <t xml:space="preserve">Processing Month:  </t>
  </si>
  <si>
    <t xml:space="preserve">               Manhours Charged to Job Order</t>
  </si>
  <si>
    <t xml:space="preserve">Period                 :  </t>
  </si>
  <si>
    <t>Job Incharge :</t>
  </si>
  <si>
    <t>Job Order No   :</t>
  </si>
  <si>
    <t>TCM Job No.    :</t>
  </si>
  <si>
    <t>Job Name          :</t>
  </si>
  <si>
    <t>Job Manager    :</t>
  </si>
  <si>
    <t>Work Position</t>
  </si>
  <si>
    <t>Dept Code</t>
  </si>
  <si>
    <t>Employee</t>
  </si>
  <si>
    <t>Employee Name</t>
  </si>
  <si>
    <t>Normal</t>
  </si>
  <si>
    <t>OT Hours</t>
  </si>
  <si>
    <t>Total</t>
  </si>
  <si>
    <t>Gen</t>
  </si>
  <si>
    <t>Particol</t>
  </si>
  <si>
    <t>No.</t>
  </si>
  <si>
    <t>Hours</t>
  </si>
  <si>
    <t>{{item.wpcode}}</t>
  </si>
  <si>
    <t>{{item.particol}}</t>
  </si>
  <si>
    <t>{{item.costcode}}</t>
  </si>
  <si>
    <t>{{item.empno}}</t>
  </si>
  <si>
    <t>{{item.name}}</t>
  </si>
  <si>
    <t>{{item.hours}}</t>
  </si>
  <si>
    <t>{{item.othours}}</t>
  </si>
  <si>
    <t>TM 01</t>
  </si>
  <si>
    <t xml:space="preserve">                                              Tecnimont  Pvt. Ltd.</t>
  </si>
  <si>
    <t/>
  </si>
  <si>
    <t xml:space="preserve">      Engineering Manhours - Final Balances and Estimates to Complete</t>
  </si>
  <si>
    <t xml:space="preserve">Period           :  </t>
  </si>
  <si>
    <t>Budget</t>
  </si>
  <si>
    <t>Accounted</t>
  </si>
  <si>
    <t>Estimates to complete next 12 months</t>
  </si>
  <si>
    <t>Dept.</t>
  </si>
  <si>
    <t>Dept. Desc</t>
  </si>
  <si>
    <t>Current</t>
  </si>
  <si>
    <t>Balance</t>
  </si>
  <si>
    <t>Total next</t>
  </si>
  <si>
    <t>After next</t>
  </si>
  <si>
    <t>Code</t>
  </si>
  <si>
    <t>Original</t>
  </si>
  <si>
    <t>Revised</t>
  </si>
  <si>
    <t>Estimate</t>
  </si>
  <si>
    <t>Delta</t>
  </si>
  <si>
    <t>Month</t>
  </si>
  <si>
    <t>Year</t>
  </si>
  <si>
    <t>to compl</t>
  </si>
  <si>
    <t>{{item.a}}</t>
  </si>
  <si>
    <t>{{item.b}}</t>
  </si>
  <si>
    <t>{{item.c}}</t>
  </si>
  <si>
    <t>{{item.d}}</t>
  </si>
  <si>
    <t>{{item.e}}</t>
  </si>
  <si>
    <t>{{item.f}}</t>
  </si>
  <si>
    <t>{{item.g}}</t>
  </si>
  <si>
    <t>{{item.h}}</t>
  </si>
  <si>
    <t>{{item.i}}</t>
  </si>
  <si>
    <t>{{item.j}}</t>
  </si>
  <si>
    <t>{{item.k}}</t>
  </si>
  <si>
    <t>{{item.l}}</t>
  </si>
  <si>
    <t>12 mnths</t>
  </si>
  <si>
    <t>(A)</t>
  </si>
  <si>
    <t>(B)=D+E</t>
  </si>
  <si>
    <t>(C)=B-A</t>
  </si>
  <si>
    <t>(D)</t>
  </si>
  <si>
    <t>(E)=F+G</t>
  </si>
  <si>
    <t>(F)</t>
  </si>
  <si>
    <t>(G)</t>
  </si>
  <si>
    <t>{{item.original}}</t>
  </si>
  <si>
    <t>{{item.revised}}</t>
  </si>
  <si>
    <t>{{item.currmnth}}</t>
  </si>
  <si>
    <t>{{item.curryear}}</t>
  </si>
  <si>
    <t>{{item.opening}}</t>
  </si>
  <si>
    <t xml:space="preserve">Manhours spent by </t>
  </si>
  <si>
    <t>{{item.emptype}}</t>
  </si>
  <si>
    <t>{{item.totmnhrs}}</t>
  </si>
  <si>
    <t>{{item.totyrhrs}}</t>
  </si>
  <si>
    <t>Total Manhours</t>
  </si>
  <si>
    <t>&lt;&lt;sum&gt;&gt;</t>
  </si>
  <si>
    <t>{{item.location}}</t>
  </si>
  <si>
    <t>{{item.monhrs}}</t>
  </si>
  <si>
    <t>{{item.yrhrs}}</t>
  </si>
  <si>
    <t>{{item.description}}</t>
  </si>
  <si>
    <t>{{item.projno}}</t>
  </si>
  <si>
    <t>{{item.next_total}}</t>
  </si>
  <si>
    <t>Project</t>
  </si>
  <si>
    <t>No</t>
  </si>
  <si>
    <t>Reason</t>
  </si>
  <si>
    <t>{{item.reasoncode}}</t>
  </si>
  <si>
    <t>Phase</t>
  </si>
  <si>
    <t>{{item.next_total_1}}</t>
  </si>
  <si>
    <t>{{item.phase}}</t>
  </si>
  <si>
    <t>&lt;&lt;group TotalLabel="Phase: {phase}"&gt;&gt;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</si>
</sst>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00"/>
    <numFmt numFmtId="165" formatCode="#,##0.0"/>
    <numFmt numFmtId="166" formatCode="0.0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0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b/>
      <sz val="24"/>
      <name val="Times New Roman"/>
      <family val="1"/>
    </font>
    <font>
      <b/>
      <sz val="20"/>
      <name val="Times New Roman"/>
      <family val="1"/>
    </font>
    <font>
      <b/>
      <sz val="16"/>
      <name val="Times New Roman"/>
      <family val="1"/>
    </font>
    <font>
      <b/>
      <sz val="14"/>
      <name val="Times New Roman"/>
      <family val="1"/>
    </font>
    <font>
      <sz val="16"/>
      <name val="Times New Roman"/>
      <family val="1"/>
    </font>
    <font>
      <b/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24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71">
    <xf numFmtId="0" fontId="0" fillId="0" borderId="0" xfId="0"/>
    <xf numFmtId="0" fontId="1" fillId="0" borderId="0" xfId="1"/>
    <xf numFmtId="0" fontId="1" fillId="2" borderId="0" xfId="1" applyFill="1"/>
    <xf numFmtId="0" fontId="1" fillId="0" borderId="1" xfId="1" applyBorder="1"/>
    <xf numFmtId="0" fontId="1" fillId="0" borderId="2" xfId="1" applyBorder="1"/>
    <xf numFmtId="0" fontId="1" fillId="0" borderId="3" xfId="1" applyBorder="1"/>
    <xf numFmtId="0" fontId="3" fillId="0" borderId="4" xfId="1" applyFont="1" applyBorder="1" applyAlignment="1">
      <alignment horizontal="centerContinuous"/>
    </xf>
    <xf numFmtId="0" fontId="4" fillId="0" borderId="0" xfId="1" applyFont="1" applyAlignment="1">
      <alignment horizontal="centerContinuous"/>
    </xf>
    <xf numFmtId="0" fontId="4" fillId="0" borderId="5" xfId="1" applyFont="1" applyBorder="1" applyAlignment="1">
      <alignment horizontal="centerContinuous"/>
    </xf>
    <xf numFmtId="0" fontId="1" fillId="0" borderId="4" xfId="1" applyBorder="1"/>
    <xf numFmtId="0" fontId="1" fillId="0" borderId="5" xfId="1" applyBorder="1"/>
    <xf numFmtId="0" fontId="5" fillId="0" borderId="4" xfId="1" applyFont="1" applyBorder="1" applyAlignment="1">
      <alignment horizontal="centerContinuous"/>
    </xf>
    <xf numFmtId="0" fontId="5" fillId="0" borderId="0" xfId="1" applyFont="1" applyAlignment="1">
      <alignment horizontal="centerContinuous"/>
    </xf>
    <xf numFmtId="0" fontId="5" fillId="0" borderId="5" xfId="1" applyFont="1" applyBorder="1" applyAlignment="1">
      <alignment horizontal="centerContinuous"/>
    </xf>
    <xf numFmtId="0" fontId="1" fillId="0" borderId="6" xfId="1" applyBorder="1"/>
    <xf numFmtId="0" fontId="1" fillId="0" borderId="7" xfId="1" applyBorder="1"/>
    <xf numFmtId="0" fontId="1" fillId="0" borderId="8" xfId="1" applyBorder="1"/>
    <xf numFmtId="0" fontId="6" fillId="0" borderId="0" xfId="1" applyFont="1"/>
    <xf numFmtId="0" fontId="1" fillId="0" borderId="0" xfId="1" applyAlignment="1">
      <alignment horizontal="left"/>
    </xf>
    <xf numFmtId="0" fontId="5" fillId="0" borderId="7" xfId="1" applyFont="1" applyBorder="1"/>
    <xf numFmtId="0" fontId="5" fillId="0" borderId="0" xfId="1" applyFont="1"/>
    <xf numFmtId="0" fontId="1" fillId="0" borderId="9" xfId="1" applyBorder="1"/>
    <xf numFmtId="0" fontId="1" fillId="0" borderId="10" xfId="1" applyBorder="1"/>
    <xf numFmtId="0" fontId="1" fillId="0" borderId="11" xfId="1" applyBorder="1"/>
    <xf numFmtId="0" fontId="7" fillId="0" borderId="1" xfId="1" applyFont="1" applyBorder="1" applyAlignment="1">
      <alignment horizontal="center"/>
    </xf>
    <xf numFmtId="0" fontId="7" fillId="0" borderId="2" xfId="1" applyFont="1" applyBorder="1" applyAlignment="1">
      <alignment horizontal="center"/>
    </xf>
    <xf numFmtId="0" fontId="7" fillId="0" borderId="2" xfId="1" applyFont="1" applyBorder="1"/>
    <xf numFmtId="0" fontId="8" fillId="0" borderId="2" xfId="1" applyFont="1" applyBorder="1"/>
    <xf numFmtId="0" fontId="9" fillId="0" borderId="2" xfId="1" applyFont="1" applyBorder="1"/>
    <xf numFmtId="0" fontId="7" fillId="0" borderId="3" xfId="1" applyFont="1" applyBorder="1"/>
    <xf numFmtId="0" fontId="7" fillId="0" borderId="0" xfId="1" applyFont="1"/>
    <xf numFmtId="0" fontId="10" fillId="0" borderId="4" xfId="1" applyFont="1" applyBorder="1" applyAlignment="1">
      <alignment horizontal="center"/>
    </xf>
    <xf numFmtId="0" fontId="10" fillId="0" borderId="0" xfId="1" applyFont="1" applyAlignment="1">
      <alignment horizontal="center"/>
    </xf>
    <xf numFmtId="0" fontId="11" fillId="0" borderId="0" xfId="1" applyFont="1" applyAlignment="1">
      <alignment horizontal="left"/>
    </xf>
    <xf numFmtId="0" fontId="7" fillId="0" borderId="0" xfId="1" applyFont="1" applyAlignment="1">
      <alignment horizontal="centerContinuous"/>
    </xf>
    <xf numFmtId="0" fontId="8" fillId="0" borderId="0" xfId="1" applyFont="1" applyAlignment="1">
      <alignment horizontal="left"/>
    </xf>
    <xf numFmtId="15" fontId="9" fillId="0" borderId="0" xfId="1" applyNumberFormat="1" applyFont="1" applyAlignment="1">
      <alignment horizontal="left"/>
    </xf>
    <xf numFmtId="0" fontId="7" fillId="0" borderId="5" xfId="1" applyFont="1" applyBorder="1" applyAlignment="1">
      <alignment horizontal="centerContinuous"/>
    </xf>
    <xf numFmtId="0" fontId="7" fillId="0" borderId="4" xfId="1" applyFont="1" applyBorder="1" applyAlignment="1">
      <alignment horizontal="center"/>
    </xf>
    <xf numFmtId="0" fontId="7" fillId="0" borderId="0" xfId="1" applyFont="1" applyAlignment="1">
      <alignment horizontal="center"/>
    </xf>
    <xf numFmtId="0" fontId="8" fillId="0" borderId="0" xfId="1" applyFont="1"/>
    <xf numFmtId="0" fontId="9" fillId="0" borderId="0" xfId="1" applyFont="1" applyAlignment="1">
      <alignment horizontal="left"/>
    </xf>
    <xf numFmtId="0" fontId="7" fillId="0" borderId="5" xfId="1" applyFont="1" applyBorder="1"/>
    <xf numFmtId="0" fontId="12" fillId="0" borderId="9" xfId="1" applyFont="1" applyBorder="1" applyAlignment="1">
      <alignment horizontal="center"/>
    </xf>
    <xf numFmtId="0" fontId="12" fillId="0" borderId="10" xfId="1" applyFont="1" applyBorder="1" applyAlignment="1">
      <alignment horizontal="center"/>
    </xf>
    <xf numFmtId="0" fontId="13" fillId="0" borderId="10" xfId="1" applyFont="1" applyBorder="1" applyAlignment="1">
      <alignment horizontal="left"/>
    </xf>
    <xf numFmtId="0" fontId="14" fillId="0" borderId="10" xfId="1" applyFont="1" applyBorder="1" applyAlignment="1">
      <alignment horizontal="center"/>
    </xf>
    <xf numFmtId="0" fontId="14" fillId="0" borderId="10" xfId="1" applyFont="1" applyBorder="1" applyAlignment="1">
      <alignment horizontal="centerContinuous"/>
    </xf>
    <xf numFmtId="0" fontId="8" fillId="0" borderId="10" xfId="1" applyFont="1" applyBorder="1" applyAlignment="1">
      <alignment horizontal="left"/>
    </xf>
    <xf numFmtId="0" fontId="9" fillId="0" borderId="10" xfId="1" applyFont="1" applyBorder="1" applyAlignment="1">
      <alignment horizontal="centerContinuous"/>
    </xf>
    <xf numFmtId="0" fontId="14" fillId="0" borderId="11" xfId="1" applyFont="1" applyBorder="1" applyAlignment="1">
      <alignment horizontal="centerContinuous"/>
    </xf>
    <xf numFmtId="0" fontId="15" fillId="0" borderId="4" xfId="1" applyFont="1" applyBorder="1" applyAlignment="1">
      <alignment horizontal="center"/>
    </xf>
    <xf numFmtId="0" fontId="15" fillId="0" borderId="0" xfId="1" applyFont="1" applyAlignment="1">
      <alignment horizontal="center"/>
    </xf>
    <xf numFmtId="0" fontId="15" fillId="0" borderId="0" xfId="1" applyFont="1" applyAlignment="1">
      <alignment horizontal="left"/>
    </xf>
    <xf numFmtId="0" fontId="15" fillId="0" borderId="0" xfId="1" applyFont="1"/>
    <xf numFmtId="0" fontId="15" fillId="0" borderId="4" xfId="1" applyFont="1" applyBorder="1" applyAlignment="1">
      <alignment horizontal="left"/>
    </xf>
    <xf numFmtId="164" fontId="15" fillId="0" borderId="0" xfId="1" applyNumberFormat="1" applyFont="1" applyAlignment="1">
      <alignment horizontal="left"/>
    </xf>
    <xf numFmtId="0" fontId="15" fillId="0" borderId="0" xfId="1" applyFont="1" applyAlignment="1">
      <alignment horizontal="right"/>
    </xf>
    <xf numFmtId="0" fontId="1" fillId="0" borderId="0" xfId="1" applyAlignment="1">
      <alignment horizontal="center"/>
    </xf>
    <xf numFmtId="17" fontId="7" fillId="0" borderId="0" xfId="1" applyNumberFormat="1" applyFont="1" applyAlignment="1">
      <alignment horizontal="center"/>
    </xf>
    <xf numFmtId="17" fontId="7" fillId="0" borderId="0" xfId="1" applyNumberFormat="1" applyFont="1"/>
    <xf numFmtId="0" fontId="15" fillId="0" borderId="14" xfId="1" applyFont="1" applyBorder="1" applyAlignment="1">
      <alignment horizontal="center"/>
    </xf>
    <xf numFmtId="0" fontId="7" fillId="0" borderId="14" xfId="1" applyFont="1" applyBorder="1"/>
    <xf numFmtId="0" fontId="15" fillId="0" borderId="15" xfId="1" applyFont="1" applyBorder="1" applyAlignment="1">
      <alignment horizontal="center"/>
    </xf>
    <xf numFmtId="0" fontId="15" fillId="0" borderId="16" xfId="1" applyFont="1" applyBorder="1" applyAlignment="1">
      <alignment horizontal="center"/>
    </xf>
    <xf numFmtId="0" fontId="15" fillId="0" borderId="17" xfId="1" applyFont="1" applyBorder="1" applyAlignment="1">
      <alignment horizontal="center"/>
    </xf>
    <xf numFmtId="0" fontId="15" fillId="0" borderId="18" xfId="1" applyFont="1" applyBorder="1" applyAlignment="1">
      <alignment horizontal="center"/>
    </xf>
    <xf numFmtId="0" fontId="15" fillId="0" borderId="19" xfId="1" applyFont="1" applyBorder="1" applyAlignment="1">
      <alignment horizontal="center"/>
    </xf>
    <xf numFmtId="0" fontId="15" fillId="0" borderId="20" xfId="1" applyFont="1" applyBorder="1" applyAlignment="1">
      <alignment horizontal="center"/>
    </xf>
    <xf numFmtId="0" fontId="15" fillId="0" borderId="7" xfId="1" applyFont="1" applyBorder="1" applyAlignment="1">
      <alignment horizontal="center"/>
    </xf>
    <xf numFmtId="0" fontId="15" fillId="0" borderId="21" xfId="1" applyFont="1" applyBorder="1" applyAlignment="1">
      <alignment horizontal="center"/>
    </xf>
    <xf numFmtId="0" fontId="15" fillId="0" borderId="5" xfId="1" applyFont="1" applyBorder="1" applyAlignment="1">
      <alignment horizontal="center"/>
    </xf>
    <xf numFmtId="0" fontId="7" fillId="0" borderId="1" xfId="1" applyFont="1" applyBorder="1"/>
    <xf numFmtId="0" fontId="7" fillId="0" borderId="2" xfId="1" applyFont="1" applyBorder="1" applyAlignment="1">
      <alignment horizontal="left"/>
    </xf>
    <xf numFmtId="0" fontId="9" fillId="0" borderId="2" xfId="1" applyFont="1" applyBorder="1" applyAlignment="1">
      <alignment horizontal="left"/>
    </xf>
    <xf numFmtId="0" fontId="10" fillId="0" borderId="4" xfId="1" applyFont="1" applyBorder="1" applyAlignment="1">
      <alignment horizontal="centerContinuous"/>
    </xf>
    <xf numFmtId="0" fontId="10" fillId="0" borderId="0" xfId="1" applyFont="1" applyAlignment="1">
      <alignment horizontal="centerContinuous"/>
    </xf>
    <xf numFmtId="0" fontId="8" fillId="0" borderId="0" xfId="1" quotePrefix="1" applyFont="1" applyAlignment="1">
      <alignment horizontal="left"/>
    </xf>
    <xf numFmtId="0" fontId="7" fillId="0" borderId="4" xfId="1" applyFont="1" applyBorder="1"/>
    <xf numFmtId="0" fontId="7" fillId="0" borderId="0" xfId="1" applyFont="1" applyAlignment="1">
      <alignment horizontal="left"/>
    </xf>
    <xf numFmtId="0" fontId="12" fillId="0" borderId="9" xfId="1" applyFont="1" applyBorder="1" applyAlignment="1">
      <alignment horizontal="centerContinuous"/>
    </xf>
    <xf numFmtId="0" fontId="12" fillId="0" borderId="10" xfId="1" applyFont="1" applyBorder="1" applyAlignment="1">
      <alignment horizontal="centerContinuous"/>
    </xf>
    <xf numFmtId="0" fontId="15" fillId="0" borderId="4" xfId="1" applyFont="1" applyBorder="1"/>
    <xf numFmtId="49" fontId="15" fillId="0" borderId="0" xfId="1" applyNumberFormat="1" applyFont="1"/>
    <xf numFmtId="0" fontId="15" fillId="0" borderId="23" xfId="1" applyFont="1" applyBorder="1" applyAlignment="1">
      <alignment horizontal="center"/>
    </xf>
    <xf numFmtId="0" fontId="15" fillId="0" borderId="14" xfId="1" applyFont="1" applyBorder="1" applyAlignment="1">
      <alignment horizontal="left"/>
    </xf>
    <xf numFmtId="0" fontId="15" fillId="0" borderId="14" xfId="1" applyFont="1" applyBorder="1" applyAlignment="1">
      <alignment horizontal="centerContinuous"/>
    </xf>
    <xf numFmtId="0" fontId="15" fillId="0" borderId="14" xfId="1" quotePrefix="1" applyFont="1" applyBorder="1" applyAlignment="1">
      <alignment horizontal="centerContinuous"/>
    </xf>
    <xf numFmtId="0" fontId="15" fillId="0" borderId="24" xfId="1" applyFont="1" applyBorder="1" applyAlignment="1">
      <alignment horizontal="centerContinuous"/>
    </xf>
    <xf numFmtId="0" fontId="15" fillId="0" borderId="15" xfId="1" quotePrefix="1" applyFont="1" applyBorder="1" applyAlignment="1">
      <alignment horizontal="centerContinuous"/>
    </xf>
    <xf numFmtId="0" fontId="15" fillId="0" borderId="17" xfId="1" quotePrefix="1" applyFont="1" applyBorder="1"/>
    <xf numFmtId="0" fontId="15" fillId="0" borderId="22" xfId="1" applyFont="1" applyBorder="1" applyAlignment="1">
      <alignment horizontal="left"/>
    </xf>
    <xf numFmtId="0" fontId="15" fillId="0" borderId="25" xfId="1" applyFont="1" applyBorder="1" applyAlignment="1">
      <alignment horizontal="center"/>
    </xf>
    <xf numFmtId="0" fontId="15" fillId="0" borderId="22" xfId="1" applyFont="1" applyBorder="1" applyAlignment="1">
      <alignment horizontal="center"/>
    </xf>
    <xf numFmtId="0" fontId="15" fillId="0" borderId="25" xfId="1" applyFont="1" applyBorder="1" applyAlignment="1">
      <alignment horizontal="centerContinuous"/>
    </xf>
    <xf numFmtId="0" fontId="15" fillId="0" borderId="22" xfId="1" applyFont="1" applyBorder="1" applyAlignment="1">
      <alignment horizontal="centerContinuous"/>
    </xf>
    <xf numFmtId="0" fontId="15" fillId="0" borderId="26" xfId="1" applyFont="1" applyBorder="1" applyAlignment="1">
      <alignment horizontal="left"/>
    </xf>
    <xf numFmtId="0" fontId="15" fillId="0" borderId="27" xfId="1" applyFont="1" applyBorder="1" applyAlignment="1">
      <alignment horizontal="centerContinuous"/>
    </xf>
    <xf numFmtId="0" fontId="15" fillId="0" borderId="0" xfId="1" applyFont="1" applyAlignment="1">
      <alignment horizontal="centerContinuous"/>
    </xf>
    <xf numFmtId="0" fontId="15" fillId="0" borderId="5" xfId="1" applyFont="1" applyBorder="1" applyAlignment="1">
      <alignment horizontal="centerContinuous"/>
    </xf>
    <xf numFmtId="0" fontId="15" fillId="0" borderId="27" xfId="1" applyFont="1" applyBorder="1" applyAlignment="1">
      <alignment horizontal="right"/>
    </xf>
    <xf numFmtId="0" fontId="15" fillId="0" borderId="0" xfId="1" quotePrefix="1" applyFont="1" applyAlignment="1">
      <alignment horizontal="centerContinuous"/>
    </xf>
    <xf numFmtId="0" fontId="15" fillId="0" borderId="6" xfId="1" applyFont="1" applyBorder="1" applyAlignment="1">
      <alignment horizontal="centerContinuous"/>
    </xf>
    <xf numFmtId="0" fontId="15" fillId="0" borderId="20" xfId="1" applyFont="1" applyBorder="1" applyAlignment="1">
      <alignment horizontal="left"/>
    </xf>
    <xf numFmtId="0" fontId="15" fillId="0" borderId="20" xfId="1" applyFont="1" applyBorder="1" applyAlignment="1">
      <alignment horizontal="centerContinuous"/>
    </xf>
    <xf numFmtId="16" fontId="15" fillId="0" borderId="20" xfId="1" applyNumberFormat="1" applyFont="1" applyBorder="1" applyAlignment="1">
      <alignment horizontal="center"/>
    </xf>
    <xf numFmtId="0" fontId="15" fillId="0" borderId="28" xfId="1" applyFont="1" applyBorder="1" applyAlignment="1">
      <alignment horizontal="centerContinuous"/>
    </xf>
    <xf numFmtId="0" fontId="15" fillId="0" borderId="7" xfId="1" applyFont="1" applyBorder="1" applyAlignment="1">
      <alignment horizontal="centerContinuous"/>
    </xf>
    <xf numFmtId="0" fontId="15" fillId="0" borderId="8" xfId="1" applyFont="1" applyBorder="1" applyAlignment="1">
      <alignment horizontal="centerContinuous"/>
    </xf>
    <xf numFmtId="0" fontId="7" fillId="0" borderId="29" xfId="1" applyFont="1" applyBorder="1" applyAlignment="1">
      <alignment horizontal="left" vertical="center"/>
    </xf>
    <xf numFmtId="0" fontId="7" fillId="0" borderId="13" xfId="1" applyFont="1" applyBorder="1" applyAlignment="1">
      <alignment horizontal="left" vertical="center"/>
    </xf>
    <xf numFmtId="0" fontId="7" fillId="0" borderId="13" xfId="1" applyFont="1" applyBorder="1" applyAlignment="1">
      <alignment horizontal="right" vertical="center"/>
    </xf>
    <xf numFmtId="166" fontId="7" fillId="0" borderId="13" xfId="1" applyNumberFormat="1" applyFont="1" applyBorder="1" applyAlignment="1">
      <alignment horizontal="right" vertical="center"/>
    </xf>
    <xf numFmtId="0" fontId="7" fillId="0" borderId="30" xfId="1" applyFont="1" applyBorder="1" applyAlignment="1">
      <alignment horizontal="right" vertical="center"/>
    </xf>
    <xf numFmtId="166" fontId="7" fillId="0" borderId="31" xfId="1" applyNumberFormat="1" applyFont="1" applyBorder="1" applyAlignment="1">
      <alignment horizontal="right" vertical="center"/>
    </xf>
    <xf numFmtId="0" fontId="7" fillId="0" borderId="32" xfId="1" applyFont="1" applyBorder="1" applyAlignment="1">
      <alignment vertical="center"/>
    </xf>
    <xf numFmtId="0" fontId="1" fillId="0" borderId="0" xfId="1" applyAlignment="1">
      <alignment vertical="center"/>
    </xf>
    <xf numFmtId="0" fontId="7" fillId="0" borderId="33" xfId="1" applyFont="1" applyBorder="1" applyAlignment="1">
      <alignment horizontal="center" vertical="center"/>
    </xf>
    <xf numFmtId="0" fontId="7" fillId="0" borderId="34" xfId="1" applyFont="1" applyBorder="1" applyAlignment="1">
      <alignment horizontal="left" vertical="center"/>
    </xf>
    <xf numFmtId="0" fontId="9" fillId="0" borderId="0" xfId="1" applyFont="1" applyAlignment="1">
      <alignment horizontal="left" vertical="center"/>
    </xf>
    <xf numFmtId="0" fontId="1" fillId="0" borderId="0" xfId="1" applyAlignment="1">
      <alignment horizontal="right" vertical="center"/>
    </xf>
    <xf numFmtId="165" fontId="9" fillId="0" borderId="43" xfId="1" applyNumberFormat="1" applyFont="1" applyBorder="1" applyAlignment="1">
      <alignment horizontal="right" vertical="center"/>
    </xf>
    <xf numFmtId="0" fontId="5" fillId="0" borderId="0" xfId="1" applyFont="1" applyAlignment="1">
      <alignment horizontal="left" vertical="center"/>
    </xf>
    <xf numFmtId="0" fontId="1" fillId="0" borderId="0" xfId="1" applyAlignment="1">
      <alignment horizontal="left" vertical="center"/>
    </xf>
    <xf numFmtId="165" fontId="7" fillId="0" borderId="30" xfId="1" applyNumberFormat="1" applyFont="1" applyBorder="1"/>
    <xf numFmtId="165" fontId="7" fillId="0" borderId="40" xfId="1" applyNumberFormat="1" applyFont="1" applyBorder="1"/>
    <xf numFmtId="0" fontId="7" fillId="0" borderId="44" xfId="1" applyFont="1" applyBorder="1" applyAlignment="1">
      <alignment horizontal="center"/>
    </xf>
    <xf numFmtId="0" fontId="7" fillId="0" borderId="45" xfId="1" applyFont="1" applyBorder="1" applyAlignment="1">
      <alignment horizontal="center"/>
    </xf>
    <xf numFmtId="165" fontId="7" fillId="0" borderId="45" xfId="1" applyNumberFormat="1" applyFont="1" applyBorder="1"/>
    <xf numFmtId="0" fontId="7" fillId="0" borderId="48" xfId="1" applyFont="1" applyBorder="1"/>
    <xf numFmtId="0" fontId="7" fillId="0" borderId="49" xfId="1" applyFont="1" applyBorder="1"/>
    <xf numFmtId="0" fontId="7" fillId="0" borderId="50" xfId="1" applyFont="1" applyBorder="1"/>
    <xf numFmtId="165" fontId="7" fillId="0" borderId="46" xfId="1" applyNumberFormat="1" applyFont="1" applyBorder="1"/>
    <xf numFmtId="0" fontId="7" fillId="0" borderId="32" xfId="1" applyFont="1" applyBorder="1"/>
    <xf numFmtId="165" fontId="7" fillId="0" borderId="47" xfId="1" applyNumberFormat="1" applyFont="1" applyBorder="1"/>
    <xf numFmtId="0" fontId="7" fillId="0" borderId="42" xfId="1" applyFont="1" applyBorder="1"/>
    <xf numFmtId="165" fontId="7" fillId="0" borderId="48" xfId="1" applyNumberFormat="1" applyFont="1" applyBorder="1"/>
    <xf numFmtId="0" fontId="7" fillId="0" borderId="51" xfId="1" applyFont="1" applyBorder="1"/>
    <xf numFmtId="0" fontId="15" fillId="0" borderId="24" xfId="1" applyFont="1" applyBorder="1" applyAlignment="1">
      <alignment horizontal="center"/>
    </xf>
    <xf numFmtId="0" fontId="15" fillId="0" borderId="28" xfId="1" applyFont="1" applyBorder="1" applyAlignment="1">
      <alignment horizontal="center"/>
    </xf>
    <xf numFmtId="49" fontId="7" fillId="0" borderId="30" xfId="1" applyNumberFormat="1" applyFont="1" applyBorder="1" applyAlignment="1">
      <alignment horizontal="left"/>
    </xf>
    <xf numFmtId="49" fontId="7" fillId="0" borderId="40" xfId="1" applyNumberFormat="1" applyFont="1" applyBorder="1" applyAlignment="1">
      <alignment horizontal="center"/>
    </xf>
    <xf numFmtId="49" fontId="7" fillId="0" borderId="45" xfId="1" applyNumberFormat="1" applyFont="1" applyBorder="1" applyAlignment="1">
      <alignment horizontal="center"/>
    </xf>
    <xf numFmtId="49" fontId="7" fillId="0" borderId="29" xfId="1" applyNumberFormat="1" applyFont="1" applyBorder="1" applyAlignment="1">
      <alignment horizontal="left"/>
    </xf>
    <xf numFmtId="49" fontId="7" fillId="0" borderId="30" xfId="1" applyNumberFormat="1" applyFont="1" applyBorder="1" applyAlignment="1">
      <alignment horizontal="center"/>
    </xf>
    <xf numFmtId="49" fontId="7" fillId="0" borderId="46" xfId="1" applyNumberFormat="1" applyFont="1" applyBorder="1" applyAlignment="1">
      <alignment horizontal="left"/>
    </xf>
    <xf numFmtId="49" fontId="7" fillId="0" borderId="31" xfId="1" applyNumberFormat="1" applyFont="1" applyBorder="1"/>
    <xf numFmtId="49" fontId="7" fillId="0" borderId="13" xfId="1" applyNumberFormat="1" applyFont="1" applyBorder="1"/>
    <xf numFmtId="49" fontId="7" fillId="0" borderId="38" xfId="1" applyNumberFormat="1" applyFont="1" applyBorder="1" applyAlignment="1">
      <alignment horizontal="center"/>
    </xf>
    <xf numFmtId="49" fontId="7" fillId="0" borderId="47" xfId="1" applyNumberFormat="1" applyFont="1" applyBorder="1"/>
    <xf numFmtId="49" fontId="7" fillId="0" borderId="41" xfId="1" applyNumberFormat="1" applyFont="1" applyBorder="1"/>
    <xf numFmtId="49" fontId="7" fillId="0" borderId="39" xfId="1" applyNumberFormat="1" applyFont="1" applyBorder="1"/>
    <xf numFmtId="0" fontId="15" fillId="0" borderId="34" xfId="1" applyFont="1" applyBorder="1" applyAlignment="1">
      <alignment horizontal="left" vertical="center"/>
    </xf>
    <xf numFmtId="165" fontId="15" fillId="0" borderId="34" xfId="1" applyNumberFormat="1" applyFont="1" applyBorder="1" applyAlignment="1">
      <alignment horizontal="right" vertical="center"/>
    </xf>
    <xf numFmtId="165" fontId="15" fillId="0" borderId="35" xfId="1" applyNumberFormat="1" applyFont="1" applyBorder="1" applyAlignment="1">
      <alignment horizontal="right" vertical="center"/>
    </xf>
    <xf numFmtId="165" fontId="15" fillId="0" borderId="36" xfId="1" applyNumberFormat="1" applyFont="1" applyBorder="1" applyAlignment="1">
      <alignment horizontal="right" vertical="center"/>
    </xf>
    <xf numFmtId="1" fontId="15" fillId="0" borderId="37" xfId="1" applyNumberFormat="1" applyFont="1" applyBorder="1" applyAlignment="1">
      <alignment horizontal="right" vertical="center"/>
    </xf>
    <xf numFmtId="0" fontId="7" fillId="0" borderId="52" xfId="1" applyFont="1" applyBorder="1" applyAlignment="1">
      <alignment horizontal="center"/>
    </xf>
    <xf numFmtId="0" fontId="7" fillId="0" borderId="53" xfId="1" applyFont="1" applyBorder="1" applyAlignment="1">
      <alignment horizontal="left" vertical="top" wrapText="1"/>
    </xf>
    <xf numFmtId="165" fontId="7" fillId="0" borderId="53" xfId="1" applyNumberFormat="1" applyFont="1" applyBorder="1" applyAlignment="1">
      <alignment horizontal="right"/>
    </xf>
    <xf numFmtId="165" fontId="7" fillId="0" borderId="26" xfId="1" applyNumberFormat="1" applyFont="1" applyBorder="1" applyAlignment="1">
      <alignment horizontal="right"/>
    </xf>
    <xf numFmtId="165" fontId="7" fillId="0" borderId="54" xfId="1" applyNumberFormat="1" applyFont="1" applyBorder="1" applyAlignment="1">
      <alignment horizontal="right"/>
    </xf>
    <xf numFmtId="1" fontId="7" fillId="0" borderId="55" xfId="1" applyNumberFormat="1" applyFont="1" applyBorder="1" applyAlignment="1">
      <alignment horizontal="right"/>
    </xf>
    <xf numFmtId="0" fontId="15" fillId="0" borderId="44" xfId="1" applyFont="1" applyBorder="1" applyAlignment="1">
      <alignment horizontal="center"/>
    </xf>
    <xf numFmtId="0" fontId="15" fillId="0" borderId="45" xfId="1" applyFont="1" applyBorder="1" applyAlignment="1">
      <alignment horizontal="left"/>
    </xf>
    <xf numFmtId="165" fontId="15" fillId="0" borderId="45" xfId="1" applyNumberFormat="1" applyFont="1" applyBorder="1" applyAlignment="1">
      <alignment horizontal="right"/>
    </xf>
    <xf numFmtId="165" fontId="15" fillId="0" borderId="48" xfId="1" applyNumberFormat="1" applyFont="1" applyBorder="1" applyAlignment="1">
      <alignment horizontal="right"/>
    </xf>
    <xf numFmtId="1" fontId="15" fillId="0" borderId="51" xfId="1" applyNumberFormat="1" applyFont="1" applyBorder="1" applyAlignment="1">
      <alignment horizontal="right"/>
    </xf>
    <xf numFmtId="15" fontId="8" fillId="0" borderId="0" xfId="1" applyNumberFormat="1" applyFont="1" applyAlignment="1">
      <alignment horizontal="left"/>
    </xf>
    <xf numFmtId="0" fontId="15" fillId="0" borderId="12" xfId="1" applyFont="1" applyBorder="1" applyAlignment="1">
      <alignment horizontal="center"/>
    </xf>
    <xf numFmtId="0" fontId="15" fillId="0" borderId="13" xfId="1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457200</xdr:rowOff>
        </xdr:from>
        <xdr:to>
          <xdr:col>0</xdr:col>
          <xdr:colOff>2314575</xdr:colOff>
          <xdr:row>0</xdr:row>
          <xdr:rowOff>857250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TM11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1143000</xdr:rowOff>
        </xdr:from>
        <xdr:to>
          <xdr:col>0</xdr:col>
          <xdr:colOff>2314575</xdr:colOff>
          <xdr:row>0</xdr:row>
          <xdr:rowOff>1562100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TM01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2543175</xdr:colOff>
          <xdr:row>0</xdr:row>
          <xdr:rowOff>457200</xdr:rowOff>
        </xdr:from>
        <xdr:to>
          <xdr:col>0</xdr:col>
          <xdr:colOff>3933825</xdr:colOff>
          <xdr:row>0</xdr:row>
          <xdr:rowOff>876300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TM11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2552700</xdr:colOff>
          <xdr:row>0</xdr:row>
          <xdr:rowOff>1114425</xdr:rowOff>
        </xdr:from>
        <xdr:to>
          <xdr:col>0</xdr:col>
          <xdr:colOff>3943350</xdr:colOff>
          <xdr:row>0</xdr:row>
          <xdr:rowOff>1533525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TM01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1504950</xdr:colOff>
          <xdr:row>0</xdr:row>
          <xdr:rowOff>1752600</xdr:rowOff>
        </xdr:from>
        <xdr:to>
          <xdr:col>0</xdr:col>
          <xdr:colOff>3619500</xdr:colOff>
          <xdr:row>0</xdr:row>
          <xdr:rowOff>2276475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71452</xdr:rowOff>
    </xdr:from>
    <xdr:to>
      <xdr:col>2</xdr:col>
      <xdr:colOff>600075</xdr:colOff>
      <xdr:row>1</xdr:row>
      <xdr:rowOff>214297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7625" y="3857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109552</xdr:rowOff>
    </xdr:from>
    <xdr:to>
      <xdr:col>1</xdr:col>
      <xdr:colOff>1285875</xdr:colOff>
      <xdr:row>1</xdr:row>
      <xdr:rowOff>252397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7625" y="490552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"/>
  <sheetViews>
    <sheetView tabSelected="1" workbookViewId="0">
      <selection activeCell="A2" sqref="A2"/>
    </sheetView>
  </sheetViews>
  <sheetFormatPr defaultRowHeight="12.75" x14ac:dyDescent="0.2"/>
  <cols>
    <col min="1" max="1" width="85.42578125" style="1" customWidth="1"/>
    <col min="2" max="16384" width="9.140625" style="1"/>
  </cols>
  <sheetData>
    <row r="1" spans="1:1" ht="300" customHeight="1" x14ac:dyDescent="0.2">
      <c r="A1" s="2"/>
    </row>
  </sheetData>
  <printOptions gridLines="1" gridLinesSet="0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Print_tm11">
                <anchor moveWithCells="1" sizeWithCells="1">
                  <from>
                    <xdr:col>0</xdr:col>
                    <xdr:colOff>923925</xdr:colOff>
                    <xdr:row>0</xdr:row>
                    <xdr:rowOff>457200</xdr:rowOff>
                  </from>
                  <to>
                    <xdr:col>0</xdr:col>
                    <xdr:colOff>2314575</xdr:colOff>
                    <xdr:row>0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Line="0" autoPict="0" macro="[0]!Print_tm01">
                <anchor moveWithCells="1" sizeWithCells="1">
                  <from>
                    <xdr:col>0</xdr:col>
                    <xdr:colOff>923925</xdr:colOff>
                    <xdr:row>0</xdr:row>
                    <xdr:rowOff>1143000</xdr:rowOff>
                  </from>
                  <to>
                    <xdr:col>0</xdr:col>
                    <xdr:colOff>2314575</xdr:colOff>
                    <xdr:row>0</xdr:row>
                    <xdr:rowOff>1562100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Line="0" autoPict="0" macro="[0]!View_TM11">
                <anchor moveWithCells="1" sizeWithCells="1">
                  <from>
                    <xdr:col>0</xdr:col>
                    <xdr:colOff>2543175</xdr:colOff>
                    <xdr:row>0</xdr:row>
                    <xdr:rowOff>457200</xdr:rowOff>
                  </from>
                  <to>
                    <xdr:col>0</xdr:col>
                    <xdr:colOff>3933825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Line="0" autoPict="0" macro="[0]!View_TM01">
                <anchor moveWithCells="1" sizeWithCells="1">
                  <from>
                    <xdr:col>0</xdr:col>
                    <xdr:colOff>2552700</xdr:colOff>
                    <xdr:row>0</xdr:row>
                    <xdr:rowOff>1114425</xdr:rowOff>
                  </from>
                  <to>
                    <xdr:col>0</xdr:col>
                    <xdr:colOff>3943350</xdr:colOff>
                    <xdr:row>0</xdr:row>
                    <xdr:rowOff>1533525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Line="0" autoPict="0" macro="[0]!view_help">
                <anchor moveWithCells="1" sizeWithCells="1">
                  <from>
                    <xdr:col>0</xdr:col>
                    <xdr:colOff>1504950</xdr:colOff>
                    <xdr:row>0</xdr:row>
                    <xdr:rowOff>1752600</xdr:rowOff>
                  </from>
                  <to>
                    <xdr:col>0</xdr:col>
                    <xdr:colOff>3619500</xdr:colOff>
                    <xdr:row>0</xdr:row>
                    <xdr:rowOff>2276475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41"/>
  <sheetViews>
    <sheetView showGridLines="0" showZeros="0" workbookViewId="0">
      <selection activeCell="H9" sqref="H9"/>
    </sheetView>
  </sheetViews>
  <sheetFormatPr defaultRowHeight="12.75" x14ac:dyDescent="0.2"/>
  <cols>
    <col min="1" max="2" width="9" style="39" customWidth="1"/>
    <col min="3" max="3" width="11.28515625" style="39" customWidth="1"/>
    <col min="4" max="6" width="9" style="39" customWidth="1"/>
    <col min="7" max="7" width="2.5703125" style="30" customWidth="1"/>
    <col min="8" max="8" width="30.85546875" style="30" customWidth="1"/>
    <col min="9" max="9" width="1.85546875" style="30" customWidth="1"/>
    <col min="10" max="10" width="8.28515625" style="30" customWidth="1"/>
    <col min="11" max="11" width="8.5703125" style="30" customWidth="1"/>
    <col min="12" max="12" width="9.140625" style="30"/>
    <col min="13" max="13" width="1.7109375" style="30" customWidth="1"/>
    <col min="14" max="16384" width="9.140625" style="30"/>
  </cols>
  <sheetData>
    <row r="1" spans="1:13" ht="25.15" customHeight="1" x14ac:dyDescent="0.25">
      <c r="A1" s="24"/>
      <c r="B1" s="25"/>
      <c r="C1" s="25"/>
      <c r="D1" s="25"/>
      <c r="E1" s="25"/>
      <c r="F1" s="25"/>
      <c r="G1" s="26"/>
      <c r="H1" s="26"/>
      <c r="I1" s="27" t="s">
        <v>28</v>
      </c>
      <c r="J1" s="27"/>
      <c r="K1" s="4"/>
      <c r="L1" s="28" t="s">
        <v>29</v>
      </c>
      <c r="M1" s="29"/>
    </row>
    <row r="2" spans="1:13" ht="25.15" customHeight="1" x14ac:dyDescent="0.4">
      <c r="A2" s="31"/>
      <c r="B2" s="32"/>
      <c r="C2" s="32"/>
      <c r="D2" s="32"/>
      <c r="E2" s="32"/>
      <c r="F2" s="33" t="s">
        <v>30</v>
      </c>
      <c r="G2" s="34"/>
      <c r="H2" s="34"/>
      <c r="I2" s="35" t="s">
        <v>31</v>
      </c>
      <c r="J2" s="35"/>
      <c r="K2" s="1"/>
      <c r="L2" s="36" t="s">
        <v>7</v>
      </c>
      <c r="M2" s="37"/>
    </row>
    <row r="3" spans="1:13" ht="25.15" customHeight="1" x14ac:dyDescent="0.25">
      <c r="A3" s="38"/>
      <c r="I3" s="40" t="s">
        <v>32</v>
      </c>
      <c r="J3" s="40"/>
      <c r="K3" s="1"/>
      <c r="L3" s="41" t="s">
        <v>7</v>
      </c>
      <c r="M3" s="42"/>
    </row>
    <row r="4" spans="1:13" ht="25.15" customHeight="1" thickBot="1" x14ac:dyDescent="0.35">
      <c r="A4" s="43" t="s">
        <v>7</v>
      </c>
      <c r="B4" s="44"/>
      <c r="C4" s="44"/>
      <c r="D4" s="44"/>
      <c r="E4" s="45" t="s">
        <v>33</v>
      </c>
      <c r="F4" s="46"/>
      <c r="G4" s="47"/>
      <c r="H4" s="47"/>
      <c r="I4" s="48" t="s">
        <v>34</v>
      </c>
      <c r="J4" s="47"/>
      <c r="K4" s="47"/>
      <c r="L4" s="49"/>
      <c r="M4" s="50"/>
    </row>
    <row r="5" spans="1:13" x14ac:dyDescent="0.2">
      <c r="A5" s="38"/>
      <c r="M5" s="42"/>
    </row>
    <row r="6" spans="1:13" x14ac:dyDescent="0.2">
      <c r="A6" s="51" t="s">
        <v>7</v>
      </c>
      <c r="F6" s="52" t="s">
        <v>35</v>
      </c>
      <c r="H6" s="53" t="s">
        <v>7</v>
      </c>
      <c r="I6" s="54"/>
      <c r="J6" s="54"/>
      <c r="M6" s="42"/>
    </row>
    <row r="7" spans="1:13" x14ac:dyDescent="0.2">
      <c r="A7" s="51" t="s">
        <v>7</v>
      </c>
      <c r="F7" s="52" t="s">
        <v>7</v>
      </c>
      <c r="I7" s="54"/>
      <c r="J7" s="54"/>
      <c r="M7" s="42"/>
    </row>
    <row r="8" spans="1:13" x14ac:dyDescent="0.2">
      <c r="A8" s="55" t="s">
        <v>36</v>
      </c>
      <c r="C8" s="79"/>
      <c r="E8" s="56"/>
      <c r="F8" s="52"/>
      <c r="H8" s="57" t="s">
        <v>37</v>
      </c>
      <c r="J8" s="54"/>
      <c r="M8" s="42"/>
    </row>
    <row r="9" spans="1:13" x14ac:dyDescent="0.2">
      <c r="A9" s="55" t="s">
        <v>38</v>
      </c>
      <c r="C9" s="79"/>
      <c r="E9" s="53"/>
      <c r="L9" s="1"/>
      <c r="M9" s="42"/>
    </row>
    <row r="10" spans="1:13" x14ac:dyDescent="0.2">
      <c r="A10" s="55" t="s">
        <v>39</v>
      </c>
      <c r="C10" s="79"/>
      <c r="E10" s="53"/>
      <c r="F10" s="58"/>
      <c r="M10" s="42"/>
    </row>
    <row r="11" spans="1:13" x14ac:dyDescent="0.2">
      <c r="A11" s="51" t="s">
        <v>7</v>
      </c>
      <c r="F11" s="59"/>
      <c r="G11" s="60"/>
      <c r="H11" s="60"/>
      <c r="I11" s="60"/>
      <c r="J11" s="60"/>
      <c r="K11" s="60"/>
      <c r="M11" s="42"/>
    </row>
    <row r="12" spans="1:13" x14ac:dyDescent="0.2">
      <c r="A12" s="169" t="s">
        <v>40</v>
      </c>
      <c r="B12" s="170"/>
      <c r="C12" s="138" t="s">
        <v>117</v>
      </c>
      <c r="D12" s="138" t="s">
        <v>119</v>
      </c>
      <c r="E12" s="61" t="s">
        <v>41</v>
      </c>
      <c r="F12" s="61" t="s">
        <v>42</v>
      </c>
      <c r="G12" s="62"/>
      <c r="H12" s="63" t="s">
        <v>43</v>
      </c>
      <c r="I12" s="64"/>
      <c r="J12" s="63" t="s">
        <v>44</v>
      </c>
      <c r="K12" s="61" t="s">
        <v>45</v>
      </c>
      <c r="L12" s="61" t="s">
        <v>46</v>
      </c>
      <c r="M12" s="65"/>
    </row>
    <row r="13" spans="1:13" x14ac:dyDescent="0.2">
      <c r="A13" s="66" t="s">
        <v>47</v>
      </c>
      <c r="B13" s="67" t="s">
        <v>48</v>
      </c>
      <c r="C13" s="139" t="s">
        <v>118</v>
      </c>
      <c r="D13" s="139" t="s">
        <v>72</v>
      </c>
      <c r="E13" s="68"/>
      <c r="F13" s="68" t="s">
        <v>49</v>
      </c>
      <c r="G13" s="68"/>
      <c r="H13" s="69"/>
      <c r="I13" s="70"/>
      <c r="J13" s="69" t="s">
        <v>50</v>
      </c>
      <c r="K13" s="68"/>
      <c r="L13" s="68"/>
      <c r="M13" s="71"/>
    </row>
    <row r="14" spans="1:13" x14ac:dyDescent="0.2">
      <c r="A14" s="143" t="s">
        <v>51</v>
      </c>
      <c r="B14" s="140" t="s">
        <v>52</v>
      </c>
      <c r="C14" s="140" t="s">
        <v>115</v>
      </c>
      <c r="D14" s="140" t="s">
        <v>120</v>
      </c>
      <c r="E14" s="144" t="s">
        <v>53</v>
      </c>
      <c r="F14" s="140" t="s">
        <v>54</v>
      </c>
      <c r="G14" s="145" t="s">
        <v>55</v>
      </c>
      <c r="H14" s="146"/>
      <c r="I14" s="147"/>
      <c r="J14" s="124" t="s">
        <v>56</v>
      </c>
      <c r="K14" s="124" t="s">
        <v>57</v>
      </c>
      <c r="L14" s="132" t="e">
        <f>J14+K14</f>
        <v>#VALUE!</v>
      </c>
      <c r="M14" s="133"/>
    </row>
    <row r="15" spans="1:13" x14ac:dyDescent="0.2">
      <c r="A15" s="148"/>
      <c r="B15" s="141"/>
      <c r="C15" s="141"/>
      <c r="D15" s="141"/>
      <c r="E15" s="141"/>
      <c r="F15" s="141"/>
      <c r="G15" s="149"/>
      <c r="H15" s="150"/>
      <c r="I15" s="151"/>
      <c r="J15" s="125">
        <v>0</v>
      </c>
      <c r="K15" s="125">
        <v>0</v>
      </c>
      <c r="L15" s="134">
        <v>0</v>
      </c>
      <c r="M15" s="135"/>
    </row>
    <row r="16" spans="1:13" ht="13.5" thickBot="1" x14ac:dyDescent="0.25">
      <c r="A16" s="126"/>
      <c r="B16" s="127"/>
      <c r="C16" s="142"/>
      <c r="D16" s="142"/>
      <c r="E16" s="127"/>
      <c r="F16" s="127"/>
      <c r="G16" s="129"/>
      <c r="H16" s="130"/>
      <c r="I16" s="131"/>
      <c r="J16" s="128">
        <v>0</v>
      </c>
      <c r="K16" s="128">
        <v>0</v>
      </c>
      <c r="L16" s="136">
        <v>0</v>
      </c>
      <c r="M16" s="137"/>
    </row>
    <row r="17" spans="1:1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</sheetData>
  <mergeCells count="1">
    <mergeCell ref="A12:B12"/>
  </mergeCells>
  <printOptions horizontalCentered="1"/>
  <pageMargins left="0" right="0" top="0.25" bottom="0.4" header="0" footer="0"/>
  <pageSetup paperSize="9" orientation="portrait" horizontalDpi="4294967292" r:id="rId1"/>
  <headerFooter alignWithMargins="0">
    <oddFooter xml:space="preserve">&amp;L&amp;F [&amp;A] &amp;D &amp;T&amp;RSheet &amp;P of &amp;N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30"/>
  <sheetViews>
    <sheetView showGridLines="0" showZeros="0" workbookViewId="0">
      <selection activeCell="S7" sqref="S7"/>
    </sheetView>
  </sheetViews>
  <sheetFormatPr defaultRowHeight="12.75" x14ac:dyDescent="0.2"/>
  <cols>
    <col min="1" max="1" width="7.7109375" style="1" customWidth="1"/>
    <col min="2" max="2" width="20.7109375" style="18" customWidth="1"/>
    <col min="3" max="3" width="8.85546875" style="18" customWidth="1"/>
    <col min="4" max="11" width="9.140625" style="1"/>
    <col min="12" max="23" width="8.28515625" style="1" customWidth="1"/>
    <col min="24" max="25" width="9.140625" style="1"/>
    <col min="26" max="26" width="1.42578125" style="1" customWidth="1"/>
    <col min="27" max="16384" width="9.140625" style="1"/>
  </cols>
  <sheetData>
    <row r="1" spans="1:26" ht="30" customHeight="1" x14ac:dyDescent="0.25">
      <c r="A1" s="72"/>
      <c r="B1" s="73"/>
      <c r="C1" s="73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74" t="s">
        <v>28</v>
      </c>
      <c r="W1" s="26"/>
      <c r="X1" s="27" t="s">
        <v>7</v>
      </c>
      <c r="Y1" s="74" t="s">
        <v>58</v>
      </c>
      <c r="Z1" s="29"/>
    </row>
    <row r="2" spans="1:26" ht="30" customHeight="1" x14ac:dyDescent="0.4">
      <c r="A2" s="75" t="s">
        <v>59</v>
      </c>
      <c r="B2" s="76"/>
      <c r="C2" s="76"/>
      <c r="D2" s="76"/>
      <c r="E2" s="76"/>
      <c r="F2" s="76"/>
      <c r="G2" s="76"/>
      <c r="H2" s="76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41" t="s">
        <v>31</v>
      </c>
      <c r="W2" s="34"/>
      <c r="X2" s="77" t="s">
        <v>60</v>
      </c>
      <c r="Y2" s="168" t="str">
        <f>'TM11'!$L$2</f>
        <v xml:space="preserve"> </v>
      </c>
      <c r="Z2" s="37"/>
    </row>
    <row r="3" spans="1:26" ht="30" customHeight="1" x14ac:dyDescent="0.25">
      <c r="A3" s="78"/>
      <c r="B3" s="79"/>
      <c r="C3" s="79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41" t="s">
        <v>32</v>
      </c>
      <c r="W3" s="30"/>
      <c r="X3" s="40" t="s">
        <v>7</v>
      </c>
      <c r="Y3" s="35" t="str">
        <f>'TM11'!$L$3</f>
        <v xml:space="preserve"> </v>
      </c>
      <c r="Z3" s="42"/>
    </row>
    <row r="4" spans="1:26" ht="30" customHeight="1" thickBot="1" x14ac:dyDescent="0.35">
      <c r="A4" s="80" t="s">
        <v>61</v>
      </c>
      <c r="B4" s="81"/>
      <c r="C4" s="81"/>
      <c r="D4" s="81"/>
      <c r="E4" s="81"/>
      <c r="F4" s="81"/>
      <c r="G4" s="81"/>
      <c r="H4" s="81"/>
      <c r="I4" s="47"/>
      <c r="J4" s="47"/>
      <c r="K4" s="81"/>
      <c r="L4" s="47"/>
      <c r="M4" s="47"/>
      <c r="N4" s="47"/>
      <c r="O4" s="47"/>
      <c r="P4" s="47"/>
      <c r="Q4" s="47"/>
      <c r="R4" s="47"/>
      <c r="S4" s="47"/>
      <c r="T4" s="47"/>
      <c r="U4" s="47"/>
      <c r="V4" s="48" t="s">
        <v>62</v>
      </c>
      <c r="W4" s="47"/>
      <c r="X4" s="47"/>
      <c r="Y4" s="48">
        <f>'TM11'!$L$4</f>
        <v>0</v>
      </c>
      <c r="Z4" s="50"/>
    </row>
    <row r="5" spans="1:26" x14ac:dyDescent="0.2">
      <c r="A5" s="78"/>
      <c r="B5" s="79"/>
      <c r="C5" s="79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42"/>
    </row>
    <row r="6" spans="1:26" x14ac:dyDescent="0.2">
      <c r="A6" s="82" t="str">
        <f>'TM11'!$A$6</f>
        <v xml:space="preserve"> </v>
      </c>
      <c r="B6" s="30"/>
      <c r="C6" s="30"/>
      <c r="D6" s="30"/>
      <c r="E6" s="53" t="s">
        <v>35</v>
      </c>
      <c r="F6" s="30"/>
      <c r="G6" s="53" t="str">
        <f>'TM11'!$H$6</f>
        <v xml:space="preserve"> </v>
      </c>
      <c r="V6" s="54"/>
      <c r="W6" s="30"/>
      <c r="X6" s="30"/>
      <c r="Y6" s="30"/>
      <c r="Z6" s="42"/>
    </row>
    <row r="7" spans="1:26" x14ac:dyDescent="0.2">
      <c r="A7" s="82" t="s">
        <v>7</v>
      </c>
      <c r="B7" s="30"/>
      <c r="C7" s="30"/>
      <c r="D7" s="30"/>
      <c r="E7" s="54" t="s">
        <v>7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54"/>
      <c r="W7" s="30"/>
      <c r="X7" s="30"/>
      <c r="Y7" s="30"/>
      <c r="Z7" s="42"/>
    </row>
    <row r="8" spans="1:26" x14ac:dyDescent="0.2">
      <c r="A8" s="82" t="s">
        <v>36</v>
      </c>
      <c r="B8" s="30"/>
      <c r="C8" s="30"/>
      <c r="D8" s="56"/>
      <c r="E8" s="54"/>
      <c r="F8" s="53" t="s">
        <v>37</v>
      </c>
      <c r="G8" s="57"/>
      <c r="H8" s="83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42"/>
    </row>
    <row r="9" spans="1:26" x14ac:dyDescent="0.2">
      <c r="A9" s="82" t="s">
        <v>38</v>
      </c>
      <c r="B9" s="30"/>
      <c r="C9" s="30"/>
      <c r="D9" s="53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Z9" s="42"/>
    </row>
    <row r="10" spans="1:26" x14ac:dyDescent="0.2">
      <c r="A10" s="82" t="s">
        <v>39</v>
      </c>
      <c r="B10" s="30"/>
      <c r="C10" s="30"/>
      <c r="D10" s="53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42"/>
    </row>
    <row r="11" spans="1:26" x14ac:dyDescent="0.2">
      <c r="A11" s="82"/>
      <c r="B11" s="53"/>
      <c r="C11" s="53"/>
      <c r="D11" s="30"/>
      <c r="E11" s="30"/>
      <c r="F11" s="30"/>
      <c r="G11" s="30"/>
      <c r="H11" s="3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30"/>
      <c r="Z11" s="42"/>
    </row>
    <row r="12" spans="1:26" x14ac:dyDescent="0.2">
      <c r="A12" s="84"/>
      <c r="B12" s="85"/>
      <c r="C12" s="61"/>
      <c r="D12" s="86" t="s">
        <v>63</v>
      </c>
      <c r="E12" s="86"/>
      <c r="F12" s="87" t="s">
        <v>60</v>
      </c>
      <c r="G12" s="86"/>
      <c r="H12" s="86" t="s">
        <v>64</v>
      </c>
      <c r="I12" s="86"/>
      <c r="J12" s="86"/>
      <c r="K12" s="86" t="s">
        <v>7</v>
      </c>
      <c r="L12" s="86" t="s">
        <v>65</v>
      </c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8"/>
      <c r="X12" s="88" t="s">
        <v>7</v>
      </c>
      <c r="Y12" s="89" t="s">
        <v>60</v>
      </c>
      <c r="Z12" s="90"/>
    </row>
    <row r="13" spans="1:26" x14ac:dyDescent="0.2">
      <c r="A13" s="51" t="s">
        <v>66</v>
      </c>
      <c r="B13" s="91" t="s">
        <v>67</v>
      </c>
      <c r="C13" s="93" t="s">
        <v>117</v>
      </c>
      <c r="D13" s="92" t="s">
        <v>7</v>
      </c>
      <c r="E13" s="92"/>
      <c r="F13" s="93" t="s">
        <v>68</v>
      </c>
      <c r="G13" s="93"/>
      <c r="H13" s="92" t="s">
        <v>7</v>
      </c>
      <c r="I13" s="94" t="s">
        <v>7</v>
      </c>
      <c r="J13" s="94" t="s">
        <v>7</v>
      </c>
      <c r="K13" s="95" t="s">
        <v>69</v>
      </c>
      <c r="L13" s="96" t="s">
        <v>7</v>
      </c>
      <c r="M13" s="96" t="s">
        <v>7</v>
      </c>
      <c r="N13" s="96" t="s">
        <v>7</v>
      </c>
      <c r="O13" s="96" t="s">
        <v>7</v>
      </c>
      <c r="P13" s="96" t="s">
        <v>7</v>
      </c>
      <c r="Q13" s="96" t="s">
        <v>7</v>
      </c>
      <c r="R13" s="96" t="s">
        <v>7</v>
      </c>
      <c r="S13" s="96" t="s">
        <v>7</v>
      </c>
      <c r="T13" s="96" t="s">
        <v>7</v>
      </c>
      <c r="U13" s="96" t="s">
        <v>7</v>
      </c>
      <c r="V13" s="96" t="s">
        <v>7</v>
      </c>
      <c r="W13" s="96" t="s">
        <v>7</v>
      </c>
      <c r="X13" s="97" t="s">
        <v>70</v>
      </c>
      <c r="Y13" s="98" t="s">
        <v>71</v>
      </c>
      <c r="Z13" s="99"/>
    </row>
    <row r="14" spans="1:26" x14ac:dyDescent="0.2">
      <c r="A14" s="51" t="s">
        <v>72</v>
      </c>
      <c r="B14" s="91" t="s">
        <v>7</v>
      </c>
      <c r="C14" s="93" t="s">
        <v>121</v>
      </c>
      <c r="D14" s="93" t="s">
        <v>73</v>
      </c>
      <c r="E14" s="93" t="s">
        <v>74</v>
      </c>
      <c r="F14" s="93" t="s">
        <v>75</v>
      </c>
      <c r="G14" s="93" t="s">
        <v>76</v>
      </c>
      <c r="H14" s="93" t="s">
        <v>77</v>
      </c>
      <c r="I14" s="95" t="s">
        <v>78</v>
      </c>
      <c r="J14" s="95" t="s">
        <v>46</v>
      </c>
      <c r="K14" s="95" t="s">
        <v>79</v>
      </c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97" t="s">
        <v>92</v>
      </c>
      <c r="Y14" s="101" t="s">
        <v>92</v>
      </c>
      <c r="Z14" s="99"/>
    </row>
    <row r="15" spans="1:26" x14ac:dyDescent="0.2">
      <c r="A15" s="102" t="s">
        <v>7</v>
      </c>
      <c r="B15" s="103"/>
      <c r="C15" s="68"/>
      <c r="D15" s="103" t="s">
        <v>7</v>
      </c>
      <c r="E15" s="104" t="s">
        <v>93</v>
      </c>
      <c r="F15" s="104" t="s">
        <v>94</v>
      </c>
      <c r="G15" s="104" t="s">
        <v>95</v>
      </c>
      <c r="H15" s="104" t="s">
        <v>7</v>
      </c>
      <c r="I15" s="68" t="s">
        <v>7</v>
      </c>
      <c r="J15" s="104" t="s">
        <v>96</v>
      </c>
      <c r="K15" s="105" t="s">
        <v>97</v>
      </c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6"/>
      <c r="X15" s="106" t="s">
        <v>98</v>
      </c>
      <c r="Y15" s="107" t="s">
        <v>99</v>
      </c>
      <c r="Z15" s="108"/>
    </row>
    <row r="16" spans="1:26" s="116" customFormat="1" x14ac:dyDescent="0.25">
      <c r="A16" s="109" t="s">
        <v>53</v>
      </c>
      <c r="B16" s="110" t="s">
        <v>55</v>
      </c>
      <c r="C16" s="110" t="s">
        <v>123</v>
      </c>
      <c r="D16" s="111" t="s">
        <v>100</v>
      </c>
      <c r="E16" s="111" t="s">
        <v>101</v>
      </c>
      <c r="F16" s="112" t="e">
        <f>J16+K16</f>
        <v>#VALUE!</v>
      </c>
      <c r="G16" s="112" t="e">
        <f>F16-E16</f>
        <v>#VALUE!</v>
      </c>
      <c r="H16" s="112" t="s">
        <v>102</v>
      </c>
      <c r="I16" s="112" t="s">
        <v>103</v>
      </c>
      <c r="J16" s="112" t="s">
        <v>104</v>
      </c>
      <c r="K16" s="112" t="e">
        <f>X16+Y16</f>
        <v>#VALUE!</v>
      </c>
      <c r="L16" s="112" t="s">
        <v>80</v>
      </c>
      <c r="M16" s="112" t="s">
        <v>81</v>
      </c>
      <c r="N16" s="112" t="s">
        <v>82</v>
      </c>
      <c r="O16" s="112" t="s">
        <v>83</v>
      </c>
      <c r="P16" s="112" t="s">
        <v>84</v>
      </c>
      <c r="Q16" s="112" t="s">
        <v>85</v>
      </c>
      <c r="R16" s="112" t="s">
        <v>86</v>
      </c>
      <c r="S16" s="112" t="s">
        <v>87</v>
      </c>
      <c r="T16" s="112" t="s">
        <v>88</v>
      </c>
      <c r="U16" s="112" t="s">
        <v>89</v>
      </c>
      <c r="V16" s="112" t="s">
        <v>90</v>
      </c>
      <c r="W16" s="112" t="s">
        <v>91</v>
      </c>
      <c r="X16" s="113" t="s">
        <v>116</v>
      </c>
      <c r="Y16" s="114" t="s">
        <v>122</v>
      </c>
      <c r="Z16" s="115"/>
    </row>
    <row r="17" spans="1:26" s="116" customFormat="1" x14ac:dyDescent="0.25">
      <c r="A17" s="117"/>
      <c r="B17" s="118"/>
      <c r="C17" s="152" t="s">
        <v>124</v>
      </c>
      <c r="D17" s="153" t="s">
        <v>110</v>
      </c>
      <c r="E17" s="153" t="s">
        <v>110</v>
      </c>
      <c r="F17" s="153" t="s">
        <v>110</v>
      </c>
      <c r="G17" s="153" t="s">
        <v>110</v>
      </c>
      <c r="H17" s="153" t="s">
        <v>110</v>
      </c>
      <c r="I17" s="153" t="s">
        <v>110</v>
      </c>
      <c r="J17" s="153" t="s">
        <v>110</v>
      </c>
      <c r="K17" s="153" t="s">
        <v>110</v>
      </c>
      <c r="L17" s="153" t="s">
        <v>110</v>
      </c>
      <c r="M17" s="153" t="s">
        <v>110</v>
      </c>
      <c r="N17" s="153" t="s">
        <v>110</v>
      </c>
      <c r="O17" s="153" t="s">
        <v>110</v>
      </c>
      <c r="P17" s="153" t="s">
        <v>110</v>
      </c>
      <c r="Q17" s="153" t="s">
        <v>110</v>
      </c>
      <c r="R17" s="153" t="s">
        <v>110</v>
      </c>
      <c r="S17" s="153" t="s">
        <v>110</v>
      </c>
      <c r="T17" s="153" t="s">
        <v>110</v>
      </c>
      <c r="U17" s="153" t="s">
        <v>110</v>
      </c>
      <c r="V17" s="153" t="s">
        <v>110</v>
      </c>
      <c r="W17" s="153" t="s">
        <v>110</v>
      </c>
      <c r="X17" s="154" t="s">
        <v>110</v>
      </c>
      <c r="Y17" s="155" t="s">
        <v>110</v>
      </c>
      <c r="Z17" s="156"/>
    </row>
    <row r="18" spans="1:26" x14ac:dyDescent="0.2">
      <c r="A18" s="157"/>
      <c r="B18" s="158"/>
      <c r="C18" s="158"/>
      <c r="D18" s="159">
        <v>0</v>
      </c>
      <c r="E18" s="159">
        <v>0</v>
      </c>
      <c r="F18" s="159">
        <f t="shared" ref="F18" si="0">+J18+K18</f>
        <v>0</v>
      </c>
      <c r="G18" s="159">
        <f t="shared" ref="G18" si="1">+F18-E18</f>
        <v>0</v>
      </c>
      <c r="H18" s="159">
        <v>0</v>
      </c>
      <c r="I18" s="159">
        <v>0</v>
      </c>
      <c r="J18" s="159">
        <v>0</v>
      </c>
      <c r="K18" s="159">
        <f t="shared" ref="K18" si="2">+X18+Y18</f>
        <v>0</v>
      </c>
      <c r="L18" s="159">
        <v>0</v>
      </c>
      <c r="M18" s="159">
        <v>0</v>
      </c>
      <c r="N18" s="159">
        <v>0</v>
      </c>
      <c r="O18" s="159">
        <v>0</v>
      </c>
      <c r="P18" s="159">
        <v>0</v>
      </c>
      <c r="Q18" s="159">
        <v>0</v>
      </c>
      <c r="R18" s="159">
        <v>0</v>
      </c>
      <c r="S18" s="159">
        <v>0</v>
      </c>
      <c r="T18" s="159">
        <v>0</v>
      </c>
      <c r="U18" s="159">
        <v>0</v>
      </c>
      <c r="V18" s="159">
        <v>0</v>
      </c>
      <c r="W18" s="159">
        <v>0</v>
      </c>
      <c r="X18" s="160">
        <f t="shared" ref="X18" si="3">SUM(L18:W18)</f>
        <v>0</v>
      </c>
      <c r="Y18" s="161">
        <v>0</v>
      </c>
      <c r="Z18" s="162"/>
    </row>
    <row r="19" spans="1:26" ht="13.5" thickBot="1" x14ac:dyDescent="0.25">
      <c r="A19" s="163"/>
      <c r="B19" s="164"/>
      <c r="C19" s="164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6"/>
      <c r="Z19" s="167"/>
    </row>
    <row r="21" spans="1:26" ht="15.75" x14ac:dyDescent="0.25">
      <c r="B21" s="41" t="s">
        <v>105</v>
      </c>
      <c r="C21" s="41"/>
      <c r="D21" s="119" t="s">
        <v>106</v>
      </c>
      <c r="E21" s="41"/>
      <c r="F21" s="41"/>
      <c r="H21" s="120" t="s">
        <v>107</v>
      </c>
      <c r="I21" s="120" t="s">
        <v>108</v>
      </c>
    </row>
    <row r="22" spans="1:26" ht="16.5" thickBot="1" x14ac:dyDescent="0.3">
      <c r="B22" s="41" t="s">
        <v>109</v>
      </c>
      <c r="C22" s="41"/>
      <c r="G22" s="121" t="s">
        <v>110</v>
      </c>
      <c r="H22" s="121" t="s">
        <v>110</v>
      </c>
      <c r="I22" s="121" t="s">
        <v>110</v>
      </c>
    </row>
    <row r="23" spans="1:26" ht="13.5" thickTop="1" x14ac:dyDescent="0.2"/>
    <row r="26" spans="1:26" x14ac:dyDescent="0.2">
      <c r="D26" s="122" t="s">
        <v>106</v>
      </c>
      <c r="F26" s="123" t="s">
        <v>111</v>
      </c>
      <c r="H26" s="120" t="s">
        <v>112</v>
      </c>
      <c r="I26" s="120" t="s">
        <v>113</v>
      </c>
    </row>
    <row r="30" spans="1:26" x14ac:dyDescent="0.2">
      <c r="A30" s="1" t="s">
        <v>114</v>
      </c>
      <c r="D30" s="122" t="s">
        <v>106</v>
      </c>
      <c r="F30" s="123" t="s">
        <v>115</v>
      </c>
      <c r="H30" s="120" t="s">
        <v>112</v>
      </c>
      <c r="I30" s="120" t="s">
        <v>113</v>
      </c>
    </row>
  </sheetData>
  <printOptions horizontalCentered="1"/>
  <pageMargins left="0" right="0" top="2.5000000000000001E-2" bottom="0.4" header="0" footer="0"/>
  <pageSetup paperSize="9" scale="65" orientation="landscape" horizontalDpi="4294967292" r:id="rId1"/>
  <headerFooter alignWithMargins="0">
    <oddFooter>&amp;L&amp;F [&amp;A] &amp;D &amp;T&amp;RSheet &amp;Pof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44"/>
  <sheetViews>
    <sheetView workbookViewId="0"/>
  </sheetViews>
  <sheetFormatPr defaultRowHeight="12.75" x14ac:dyDescent="0.2"/>
  <cols>
    <col min="1" max="1" width="2.5703125" style="1" customWidth="1"/>
    <col min="2" max="2" width="3.42578125" style="1" customWidth="1"/>
    <col min="3" max="7" width="9.140625" style="1"/>
    <col min="8" max="8" width="33.140625" style="1" customWidth="1"/>
    <col min="9" max="16384" width="9.140625" style="1"/>
  </cols>
  <sheetData>
    <row r="1" spans="1:8" x14ac:dyDescent="0.2">
      <c r="A1" s="3"/>
      <c r="B1" s="4"/>
      <c r="C1" s="4"/>
      <c r="D1" s="4"/>
      <c r="E1" s="4"/>
      <c r="F1" s="4"/>
      <c r="G1" s="4"/>
      <c r="H1" s="5"/>
    </row>
    <row r="2" spans="1:8" ht="20.25" x14ac:dyDescent="0.3">
      <c r="A2" s="6" t="s">
        <v>0</v>
      </c>
      <c r="B2" s="7"/>
      <c r="C2" s="7"/>
      <c r="D2" s="7"/>
      <c r="E2" s="7"/>
      <c r="F2" s="7"/>
      <c r="G2" s="7"/>
      <c r="H2" s="8"/>
    </row>
    <row r="3" spans="1:8" x14ac:dyDescent="0.2">
      <c r="A3" s="9"/>
      <c r="H3" s="10"/>
    </row>
    <row r="4" spans="1:8" x14ac:dyDescent="0.2">
      <c r="A4" s="11" t="s">
        <v>1</v>
      </c>
      <c r="B4" s="12"/>
      <c r="C4" s="12"/>
      <c r="D4" s="12"/>
      <c r="E4" s="12"/>
      <c r="F4" s="12"/>
      <c r="G4" s="12"/>
      <c r="H4" s="13"/>
    </row>
    <row r="5" spans="1:8" x14ac:dyDescent="0.2">
      <c r="A5" s="14"/>
      <c r="B5" s="15"/>
      <c r="C5" s="15"/>
      <c r="D5" s="15"/>
      <c r="E5" s="15"/>
      <c r="F5" s="15"/>
      <c r="G5" s="15"/>
      <c r="H5" s="16"/>
    </row>
    <row r="6" spans="1:8" x14ac:dyDescent="0.2">
      <c r="A6" s="9"/>
      <c r="B6" s="17" t="s">
        <v>2</v>
      </c>
      <c r="H6" s="10"/>
    </row>
    <row r="7" spans="1:8" x14ac:dyDescent="0.2">
      <c r="A7" s="9"/>
      <c r="H7" s="10"/>
    </row>
    <row r="8" spans="1:8" x14ac:dyDescent="0.2">
      <c r="A8" s="9"/>
      <c r="B8" s="18" t="s">
        <v>3</v>
      </c>
      <c r="C8" s="17"/>
      <c r="H8" s="10"/>
    </row>
    <row r="9" spans="1:8" x14ac:dyDescent="0.2">
      <c r="A9" s="9"/>
      <c r="B9" s="1">
        <v>1</v>
      </c>
      <c r="C9" s="1" t="s">
        <v>4</v>
      </c>
      <c r="H9" s="10"/>
    </row>
    <row r="10" spans="1:8" x14ac:dyDescent="0.2">
      <c r="A10" s="9"/>
      <c r="B10" s="1">
        <v>2</v>
      </c>
      <c r="C10" s="1" t="s">
        <v>5</v>
      </c>
      <c r="H10" s="10"/>
    </row>
    <row r="11" spans="1:8" x14ac:dyDescent="0.2">
      <c r="A11" s="9"/>
      <c r="H11" s="10"/>
    </row>
    <row r="12" spans="1:8" x14ac:dyDescent="0.2">
      <c r="A12" s="9"/>
      <c r="C12" s="1" t="s">
        <v>6</v>
      </c>
      <c r="H12" s="10"/>
    </row>
    <row r="13" spans="1:8" x14ac:dyDescent="0.2">
      <c r="A13" s="14"/>
      <c r="B13" s="15"/>
      <c r="C13" s="19" t="s">
        <v>7</v>
      </c>
      <c r="D13" s="15"/>
      <c r="E13" s="15"/>
      <c r="F13" s="15"/>
      <c r="G13" s="15"/>
      <c r="H13" s="16"/>
    </row>
    <row r="14" spans="1:8" x14ac:dyDescent="0.2">
      <c r="A14" s="9"/>
      <c r="C14" s="20"/>
      <c r="H14" s="10"/>
    </row>
    <row r="15" spans="1:8" x14ac:dyDescent="0.2">
      <c r="A15" s="9"/>
      <c r="H15" s="10"/>
    </row>
    <row r="16" spans="1:8" x14ac:dyDescent="0.2">
      <c r="A16" s="9"/>
      <c r="B16" s="17">
        <v>1</v>
      </c>
      <c r="C16" s="17" t="s">
        <v>8</v>
      </c>
      <c r="H16" s="10"/>
    </row>
    <row r="17" spans="1:8" x14ac:dyDescent="0.2">
      <c r="A17" s="9"/>
      <c r="H17" s="10"/>
    </row>
    <row r="18" spans="1:8" x14ac:dyDescent="0.2">
      <c r="A18" s="9"/>
      <c r="C18" s="1" t="s">
        <v>9</v>
      </c>
      <c r="H18" s="10"/>
    </row>
    <row r="19" spans="1:8" x14ac:dyDescent="0.2">
      <c r="A19" s="9"/>
      <c r="C19" s="1" t="s">
        <v>10</v>
      </c>
      <c r="H19" s="10"/>
    </row>
    <row r="20" spans="1:8" x14ac:dyDescent="0.2">
      <c r="A20" s="9"/>
      <c r="C20" s="1" t="s">
        <v>11</v>
      </c>
      <c r="H20" s="10"/>
    </row>
    <row r="21" spans="1:8" x14ac:dyDescent="0.2">
      <c r="A21" s="14"/>
      <c r="B21" s="15"/>
      <c r="C21" s="15" t="s">
        <v>12</v>
      </c>
      <c r="D21" s="15"/>
      <c r="E21" s="15"/>
      <c r="F21" s="15"/>
      <c r="G21" s="15"/>
      <c r="H21" s="16"/>
    </row>
    <row r="22" spans="1:8" x14ac:dyDescent="0.2">
      <c r="A22" s="9"/>
      <c r="H22" s="10"/>
    </row>
    <row r="23" spans="1:8" x14ac:dyDescent="0.2">
      <c r="A23" s="9"/>
      <c r="B23" s="17">
        <v>3</v>
      </c>
      <c r="C23" s="17" t="s">
        <v>13</v>
      </c>
      <c r="H23" s="10"/>
    </row>
    <row r="24" spans="1:8" x14ac:dyDescent="0.2">
      <c r="A24" s="9"/>
      <c r="H24" s="10"/>
    </row>
    <row r="25" spans="1:8" x14ac:dyDescent="0.2">
      <c r="A25" s="9"/>
      <c r="C25" s="1" t="s">
        <v>14</v>
      </c>
      <c r="H25" s="10"/>
    </row>
    <row r="26" spans="1:8" x14ac:dyDescent="0.2">
      <c r="A26" s="9"/>
      <c r="C26" s="1" t="s">
        <v>15</v>
      </c>
      <c r="H26" s="10"/>
    </row>
    <row r="27" spans="1:8" x14ac:dyDescent="0.2">
      <c r="A27" s="9"/>
      <c r="C27" s="1" t="s">
        <v>16</v>
      </c>
      <c r="H27" s="10"/>
    </row>
    <row r="28" spans="1:8" x14ac:dyDescent="0.2">
      <c r="A28" s="9"/>
      <c r="C28" s="1" t="s">
        <v>17</v>
      </c>
      <c r="H28" s="10"/>
    </row>
    <row r="29" spans="1:8" x14ac:dyDescent="0.2">
      <c r="A29" s="9"/>
      <c r="C29" s="1" t="s">
        <v>18</v>
      </c>
      <c r="H29" s="10"/>
    </row>
    <row r="30" spans="1:8" x14ac:dyDescent="0.2">
      <c r="A30" s="9"/>
      <c r="C30" s="1" t="s">
        <v>19</v>
      </c>
      <c r="H30" s="10"/>
    </row>
    <row r="31" spans="1:8" x14ac:dyDescent="0.2">
      <c r="A31" s="9"/>
      <c r="C31" s="1" t="s">
        <v>20</v>
      </c>
      <c r="H31" s="10"/>
    </row>
    <row r="32" spans="1:8" x14ac:dyDescent="0.2">
      <c r="A32" s="9"/>
      <c r="C32" s="1" t="s">
        <v>21</v>
      </c>
      <c r="H32" s="10"/>
    </row>
    <row r="33" spans="1:8" x14ac:dyDescent="0.2">
      <c r="A33" s="9"/>
      <c r="C33" s="1" t="s">
        <v>22</v>
      </c>
      <c r="H33" s="10"/>
    </row>
    <row r="34" spans="1:8" x14ac:dyDescent="0.2">
      <c r="A34" s="9"/>
      <c r="C34" s="1" t="s">
        <v>23</v>
      </c>
      <c r="H34" s="10"/>
    </row>
    <row r="35" spans="1:8" x14ac:dyDescent="0.2">
      <c r="A35" s="9"/>
      <c r="C35" s="1" t="s">
        <v>24</v>
      </c>
      <c r="H35" s="10"/>
    </row>
    <row r="36" spans="1:8" x14ac:dyDescent="0.2">
      <c r="A36" s="9"/>
      <c r="H36" s="10"/>
    </row>
    <row r="37" spans="1:8" x14ac:dyDescent="0.2">
      <c r="A37" s="9"/>
      <c r="C37" s="1" t="s">
        <v>25</v>
      </c>
      <c r="H37" s="10"/>
    </row>
    <row r="38" spans="1:8" x14ac:dyDescent="0.2">
      <c r="A38" s="9"/>
      <c r="H38" s="10"/>
    </row>
    <row r="39" spans="1:8" x14ac:dyDescent="0.2">
      <c r="A39" s="9"/>
      <c r="C39" s="1" t="s">
        <v>26</v>
      </c>
      <c r="H39" s="10"/>
    </row>
    <row r="40" spans="1:8" x14ac:dyDescent="0.2">
      <c r="A40" s="9"/>
      <c r="C40" s="1" t="s">
        <v>27</v>
      </c>
      <c r="H40" s="10"/>
    </row>
    <row r="41" spans="1:8" x14ac:dyDescent="0.2">
      <c r="A41" s="9"/>
      <c r="H41" s="10"/>
    </row>
    <row r="42" spans="1:8" x14ac:dyDescent="0.2">
      <c r="A42" s="9"/>
      <c r="C42" s="20" t="s">
        <v>7</v>
      </c>
      <c r="H42" s="10"/>
    </row>
    <row r="43" spans="1:8" x14ac:dyDescent="0.2">
      <c r="A43" s="9"/>
      <c r="C43" s="20" t="s">
        <v>7</v>
      </c>
      <c r="H43" s="10"/>
    </row>
    <row r="44" spans="1:8" ht="13.5" thickBot="1" x14ac:dyDescent="0.25">
      <c r="A44" s="21"/>
      <c r="B44" s="22"/>
      <c r="C44" s="22"/>
      <c r="D44" s="22"/>
      <c r="E44" s="22"/>
      <c r="F44" s="22"/>
      <c r="G44" s="22"/>
      <c r="H44" s="23"/>
    </row>
  </sheetData>
  <pageMargins left="0.75" right="0.75" top="1" bottom="1" header="0.5" footer="0.5"/>
  <pageSetup paperSize="9" orientation="portrait" horizontalDpi="4294967292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9EFB5B0-1EAE-49BD-B0E6-96729DF1C3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EAFCDAD-0025-4DD1-8730-2D89353BF39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272C833-30C2-4166-B2CE-980A82FE18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Menu</vt:lpstr>
      <vt:lpstr>TM11</vt:lpstr>
      <vt:lpstr>TM01</vt:lpstr>
      <vt:lpstr>Help</vt:lpstr>
      <vt:lpstr>'TM01'!Print_Titles</vt:lpstr>
      <vt:lpstr>'TM11'!Print_Titles</vt:lpstr>
      <vt:lpstr>tm01_data</vt:lpstr>
      <vt:lpstr>tm01_part2</vt:lpstr>
      <vt:lpstr>tm01_part3</vt:lpstr>
      <vt:lpstr>tm01_part4</vt:lpstr>
      <vt:lpstr>tm11_data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Bhavsar Upen (Mumbai - IT)</dc:creator>
  <cp:lastModifiedBy>Mistry Abhishek</cp:lastModifiedBy>
  <dcterms:created xsi:type="dcterms:W3CDTF">2020-06-09T12:36:05Z</dcterms:created>
  <dcterms:modified xsi:type="dcterms:W3CDTF">2023-09-11T04:29:10Z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0x0101005B7E1DC03A831441A27BE8093DD26759</vt:lpwstr>
  </property>
  <property fmtid="{D5CDD505-2E9C-101B-9397-08002B2CF9AE}" pid="3" name="MSIP_Label_e18d9558-26a3-4f93-8788-04a494c05692_Enabled">
    <vt:lpwstr>true</vt:lpwstr>
  </property>
  <property fmtid="{D5CDD505-2E9C-101B-9397-08002B2CF9AE}" pid="4" name="MSIP_Label_e18d9558-26a3-4f93-8788-04a494c05692_SetDate">
    <vt:lpwstr>2023-09-11T04:29:10Z</vt:lpwstr>
  </property>
  <property fmtid="{D5CDD505-2E9C-101B-9397-08002B2CF9AE}" pid="5" name="MSIP_Label_e18d9558-26a3-4f93-8788-04a494c05692_Method">
    <vt:lpwstr>Standard</vt:lpwstr>
  </property>
  <property fmtid="{D5CDD505-2E9C-101B-9397-08002B2CF9AE}" pid="6" name="MSIP_Label_e18d9558-26a3-4f93-8788-04a494c05692_Name">
    <vt:lpwstr>e18d9558-26a3-4f93-8788-04a494c05692</vt:lpwstr>
  </property>
  <property fmtid="{D5CDD505-2E9C-101B-9397-08002B2CF9AE}" pid="7" name="MSIP_Label_e18d9558-26a3-4f93-8788-04a494c05692_SiteId">
    <vt:lpwstr>7cc91888-5aa0-49e5-a836-22cda2eae0fc</vt:lpwstr>
  </property>
  <property fmtid="{D5CDD505-2E9C-101B-9397-08002B2CF9AE}" pid="8" name="MSIP_Label_e18d9558-26a3-4f93-8788-04a494c05692_ActionId">
    <vt:lpwstr>c4f3619f-89ae-42fa-a56c-78907aee0fdf</vt:lpwstr>
  </property>
  <property fmtid="{D5CDD505-2E9C-101B-9397-08002B2CF9AE}" pid="9" name="MSIP_Label_e18d9558-26a3-4f93-8788-04a494c05692_ContentBits">
    <vt:lpwstr>0</vt:lpwstr>
  </property>
</Properties>
</file>